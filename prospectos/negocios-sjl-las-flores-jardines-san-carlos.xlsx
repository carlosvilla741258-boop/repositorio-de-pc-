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gocios" sheetId="1" state="visible" r:id="rId3"/>
    <sheet name="Resumen" sheetId="2" state="visible" r:id="rId4"/>
    <sheet name="Cómo usar" sheetId="3" state="visible" r:id="rId5"/>
  </sheets>
  <definedNames>
    <definedName function="false" hidden="true" localSheetId="0" name="_xlnm._FilterDatabase" vbProcedure="false">Negocios!$A$4:$O$47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<sst xmlns="http://schemas.openxmlformats.org/spreadsheetml/2006/main" count="496" uniqueCount="191">
  <si>
    <t xml:space="preserve">Prospectos para páginas web · San Juan de Lurigancho: La Hacienda, Av. Las Flores, Av. Los Jardines, Los Postes y San Carlos</t>
  </si>
  <si>
    <t xml:space="preserve">43 negocios sacados de directorios públicos (septiembre 2026). Toca «Abrir en Google Maps»: ahí sale el teléfono y la ubicación exacta. Las columnas amarillas las llenas tú.</t>
  </si>
  <si>
    <t xml:space="preserve">N.°</t>
  </si>
  <si>
    <t xml:space="preserve">Negocio</t>
  </si>
  <si>
    <t xml:space="preserve">Rubro</t>
  </si>
  <si>
    <t xml:space="preserve">Zona</t>
  </si>
  <si>
    <t xml:space="preserve">Dirección</t>
  </si>
  <si>
    <t xml:space="preserve">Referencia</t>
  </si>
  <si>
    <t xml:space="preserve">Ubicación</t>
  </si>
  <si>
    <t xml:space="preserve">¿Tiene web?</t>
  </si>
  <si>
    <t xml:space="preserve">Oportunidad</t>
  </si>
  <si>
    <t xml:space="preserve">Qué ofrecerle</t>
  </si>
  <si>
    <t xml:space="preserve">Fuente</t>
  </si>
  <si>
    <t xml:space="preserve">Teléfono (lo llenas tú)</t>
  </si>
  <si>
    <t xml:space="preserve">Estado</t>
  </si>
  <si>
    <t xml:space="preserve">Fecha de contacto</t>
  </si>
  <si>
    <t xml:space="preserve">Notas</t>
  </si>
  <si>
    <t xml:space="preserve">Clínica Dental Salvadent</t>
  </si>
  <si>
    <t xml:space="preserve">Dentista</t>
  </si>
  <si>
    <t xml:space="preserve">Av. Las Flores de Primavera</t>
  </si>
  <si>
    <t xml:space="preserve">Av. Las Flores de Primavera 1442</t>
  </si>
  <si>
    <t xml:space="preserve">Abrir en Google Maps</t>
  </si>
  <si>
    <t xml:space="preserve">No encontrada</t>
  </si>
  <si>
    <t xml:space="preserve">Web nueva</t>
  </si>
  <si>
    <t xml:space="preserve">Web con tratamientos y precios referenciales + botón de cita por WhatsApp</t>
  </si>
  <si>
    <t xml:space="preserve">Ver fuente</t>
  </si>
  <si>
    <t xml:space="preserve">Pendiente</t>
  </si>
  <si>
    <t xml:space="preserve">Clínica Veterinaria Maskotopía</t>
  </si>
  <si>
    <t xml:space="preserve">Veterinaria</t>
  </si>
  <si>
    <t xml:space="preserve">Av. Las Flores de Primavera 1701</t>
  </si>
  <si>
    <t xml:space="preserve">Página gratis de Wix (maskotopia.wixsite.com)</t>
  </si>
  <si>
    <t xml:space="preserve">Mejorar web</t>
  </si>
  <si>
    <t xml:space="preserve">Ya tiene web: revísala en el celular y ofrécele rediseño, dominio propio o botón de WhatsApp</t>
  </si>
  <si>
    <t xml:space="preserve">Veterinaria Peques Pets</t>
  </si>
  <si>
    <t xml:space="preserve">Av. Las Flores de Primavera 1117</t>
  </si>
  <si>
    <t xml:space="preserve">Web con servicios, horario de emergencias y citas por WhatsApp</t>
  </si>
  <si>
    <t xml:space="preserve">Búsqueda web</t>
  </si>
  <si>
    <t xml:space="preserve">Mundo Pets (sede Las Flores)</t>
  </si>
  <si>
    <t xml:space="preserve">Av. Las Flores de Primavera 1568</t>
  </si>
  <si>
    <t xml:space="preserve">Sí: veterinariamundopets.com</t>
  </si>
  <si>
    <t xml:space="preserve">Clínica Veterinaria Aristocat</t>
  </si>
  <si>
    <t xml:space="preserve">Calle Los Huertos 129, Urb. Las Flores de Lima</t>
  </si>
  <si>
    <t xml:space="preserve">Gym Mega Force (sede Las Flores)</t>
  </si>
  <si>
    <t xml:space="preserve">Gimnasio</t>
  </si>
  <si>
    <t xml:space="preserve">Av. Las Flores de Primavera 1238</t>
  </si>
  <si>
    <t xml:space="preserve">Misma marca que la sede Hacienda (fila de abajo): una web para las 2 sedes</t>
  </si>
  <si>
    <t xml:space="preserve">Solo redes (Facebook)</t>
  </si>
  <si>
    <t xml:space="preserve">Planes, horarios y fotos del local + inscripción por WhatsApp</t>
  </si>
  <si>
    <t xml:space="preserve">El Capitán Barbería</t>
  </si>
  <si>
    <t xml:space="preserve">Barbería</t>
  </si>
  <si>
    <t xml:space="preserve">Av. Las Flores de Primavera 1255</t>
  </si>
  <si>
    <t xml:space="preserve">Paradero 8, frente a la discoteca Kurda; a minutos de la Estación Los Jardines</t>
  </si>
  <si>
    <t xml:space="preserve">Solo redes (TikTok)</t>
  </si>
  <si>
    <t xml:space="preserve">Galería de trabajos, lista de precios y reservas por WhatsApp</t>
  </si>
  <si>
    <t xml:space="preserve">El Legado Barbería</t>
  </si>
  <si>
    <t xml:space="preserve">Av. Las Flores de Primavera 1285, Urb. Las Flores</t>
  </si>
  <si>
    <t xml:space="preserve">Punto 8 Barbería SJL</t>
  </si>
  <si>
    <t xml:space="preserve">Av. Las Flores de Primavera 1211</t>
  </si>
  <si>
    <t xml:space="preserve">Cambio de Look</t>
  </si>
  <si>
    <t xml:space="preserve">Peluquería</t>
  </si>
  <si>
    <t xml:space="preserve">Av. Las Flores de Primavera 1089</t>
  </si>
  <si>
    <t xml:space="preserve">Luna High Studio</t>
  </si>
  <si>
    <t xml:space="preserve">Salón de belleza y cafetería</t>
  </si>
  <si>
    <t xml:space="preserve">Av. Las Flores de Primavera 1301</t>
  </si>
  <si>
    <t xml:space="preserve">Corralito – Pollos y Parrillas</t>
  </si>
  <si>
    <t xml:space="preserve">Pollería</t>
  </si>
  <si>
    <t xml:space="preserve">Av. Las Flores de Primavera 1787</t>
  </si>
  <si>
    <t xml:space="preserve">Carta digital con QR + pedidos de delivery por WhatsApp</t>
  </si>
  <si>
    <t xml:space="preserve">Pollería Ricco</t>
  </si>
  <si>
    <t xml:space="preserve">Av. Las Flores de Primavera (número por confirmar)</t>
  </si>
  <si>
    <t xml:space="preserve">El directorio no da el número de la puerta: ubícala en Maps</t>
  </si>
  <si>
    <t xml:space="preserve">Las Flores MTL</t>
  </si>
  <si>
    <t xml:space="preserve">Restaurante con pedidos en línea</t>
  </si>
  <si>
    <t xml:space="preserve">Av. Las Flores de Primavera 1163</t>
  </si>
  <si>
    <t xml:space="preserve">Tienda en ola.click (plataforma de pedidos)</t>
  </si>
  <si>
    <t xml:space="preserve">Colegio Jean Piaget – Las Flores</t>
  </si>
  <si>
    <t xml:space="preserve">Colegio</t>
  </si>
  <si>
    <t xml:space="preserve">Jr. Milenramas 752, Urb. Las Flores de Primavera</t>
  </si>
  <si>
    <t xml:space="preserve">Niveles o ciclos, admisión 2027, galería y formulario de inscripción</t>
  </si>
  <si>
    <t xml:space="preserve">Hostal La Hacienda</t>
  </si>
  <si>
    <t xml:space="preserve">Hostal</t>
  </si>
  <si>
    <t xml:space="preserve">Av. Los Jardines</t>
  </si>
  <si>
    <t xml:space="preserve">Av. Los Jardines Oeste 247</t>
  </si>
  <si>
    <t xml:space="preserve">Fotos de habitaciones, tarifas y reservas por WhatsApp; salir en Google</t>
  </si>
  <si>
    <t xml:space="preserve">Odonto Marcos</t>
  </si>
  <si>
    <t xml:space="preserve">Av. Los Jardines Oeste 249</t>
  </si>
  <si>
    <t xml:space="preserve">Solo redes (Instagram)</t>
  </si>
  <si>
    <t xml:space="preserve">Clínica Dental Implant SJL</t>
  </si>
  <si>
    <t xml:space="preserve">Av. Los Jardines Oeste 160, 2.º piso</t>
  </si>
  <si>
    <t xml:space="preserve">Sí: clinicadentalimplant.com</t>
  </si>
  <si>
    <t xml:space="preserve">AMALY Spa</t>
  </si>
  <si>
    <t xml:space="preserve">Spa y uñas</t>
  </si>
  <si>
    <t xml:space="preserve">Av. Los Jardines Oeste 125</t>
  </si>
  <si>
    <t xml:space="preserve">Salón &amp; Spa Venus</t>
  </si>
  <si>
    <t xml:space="preserve">Salón y spa</t>
  </si>
  <si>
    <t xml:space="preserve">Av. Los Jardines Oeste 239A, Urb. Las Flores de Lima</t>
  </si>
  <si>
    <t xml:space="preserve">Vanidosas Salon &amp; Spa</t>
  </si>
  <si>
    <t xml:space="preserve">Av. Los Jardines Este 283, Galería Todos, local 117</t>
  </si>
  <si>
    <t xml:space="preserve">Chifa Los Jardines</t>
  </si>
  <si>
    <t xml:space="preserve">Chifa</t>
  </si>
  <si>
    <t xml:space="preserve">Av. Los Jardines Este 176</t>
  </si>
  <si>
    <t xml:space="preserve">Restaurante Cevichería El Buen Sabor</t>
  </si>
  <si>
    <t xml:space="preserve">Cevichería</t>
  </si>
  <si>
    <t xml:space="preserve">Av. Los Jardines Este 139</t>
  </si>
  <si>
    <t xml:space="preserve">Cevichería Don Pez</t>
  </si>
  <si>
    <t xml:space="preserve">Jr. Los Ricinos 1039, Los Jardines</t>
  </si>
  <si>
    <t xml:space="preserve">Veterinaria Posta Oasis (Jardines)</t>
  </si>
  <si>
    <t xml:space="preserve">Av. 13 de Enero 1708</t>
  </si>
  <si>
    <t xml:space="preserve">Chifa Yao Fu</t>
  </si>
  <si>
    <t xml:space="preserve">Próceres: Las Flores / La Hacienda</t>
  </si>
  <si>
    <t xml:space="preserve">Av. Próceres de la Independencia 728</t>
  </si>
  <si>
    <t xml:space="preserve">Hostal Jerusalén</t>
  </si>
  <si>
    <t xml:space="preserve">Av. Próceres de la Independencia 595, Urb. Las Flores</t>
  </si>
  <si>
    <t xml:space="preserve">Hostal Cielo</t>
  </si>
  <si>
    <t xml:space="preserve">Av. Próceres de la Independencia 576</t>
  </si>
  <si>
    <t xml:space="preserve">Altura de la Posta San Juan</t>
  </si>
  <si>
    <t xml:space="preserve">Gym Mega Force (sede Hacienda)</t>
  </si>
  <si>
    <t xml:space="preserve">Av. Próceres de la Independencia 1715</t>
  </si>
  <si>
    <t xml:space="preserve">Misma marca que la sede Las Flores</t>
  </si>
  <si>
    <t xml:space="preserve">Notaría Villota</t>
  </si>
  <si>
    <t xml:space="preserve">Notaría</t>
  </si>
  <si>
    <t xml:space="preserve">Av. Próceres de la Independencia 1722-B, of. 204, Urb. Las Flores</t>
  </si>
  <si>
    <t xml:space="preserve">Trámites con requisitos, horario y cotización por WhatsApp</t>
  </si>
  <si>
    <t xml:space="preserve">Hostal Nubeluz</t>
  </si>
  <si>
    <t xml:space="preserve">Los Postes / San Hilarión</t>
  </si>
  <si>
    <t xml:space="preserve">Av. Próceres de la Independencia 2001, Urb. San Hilarión</t>
  </si>
  <si>
    <t xml:space="preserve">Hostal Castillo</t>
  </si>
  <si>
    <t xml:space="preserve">Av. Los Postes 233, Asoc. Las Begonias Mz. D Lt. 20</t>
  </si>
  <si>
    <t xml:space="preserve">Clínica Dental Odontomanía</t>
  </si>
  <si>
    <t xml:space="preserve">Av. Próceres de la Independencia 2286, 2.º piso</t>
  </si>
  <si>
    <t xml:space="preserve">La Pollerona – San Hilarión</t>
  </si>
  <si>
    <t xml:space="preserve">Av. Próceres de la Independencia 2292</t>
  </si>
  <si>
    <t xml:space="preserve">SAVIA Academia Preuniversitaria</t>
  </si>
  <si>
    <t xml:space="preserve">Academia preuniversitaria</t>
  </si>
  <si>
    <t xml:space="preserve">Av. Próceres de la Independencia 2175</t>
  </si>
  <si>
    <t xml:space="preserve">A la Gloria Jugos y Sándwiches</t>
  </si>
  <si>
    <t xml:space="preserve">Juguería</t>
  </si>
  <si>
    <t xml:space="preserve">Av. Los Postes Este 346</t>
  </si>
  <si>
    <t xml:space="preserve">Tiene otro local en Av. El Sol 498 (frente a la UPN)</t>
  </si>
  <si>
    <t xml:space="preserve">Sí: alagloria.com</t>
  </si>
  <si>
    <t xml:space="preserve">Restaurante Moche – San Carlos</t>
  </si>
  <si>
    <t xml:space="preserve">Restaurante</t>
  </si>
  <si>
    <t xml:space="preserve">San Carlos</t>
  </si>
  <si>
    <t xml:space="preserve">Av. Próceres de la Independencia 2721</t>
  </si>
  <si>
    <t xml:space="preserve">Muy concurrido: más de 400 reseñas en Restaurant Guru</t>
  </si>
  <si>
    <t xml:space="preserve">San Carlos Automotriz</t>
  </si>
  <si>
    <t xml:space="preserve">Taller automotriz (GNV/GLP)</t>
  </si>
  <si>
    <t xml:space="preserve">Av. Próceres de la Independencia 2735</t>
  </si>
  <si>
    <t xml:space="preserve">Servicios, fotos de antes/después y garantía (usa tu web de Abarca Factoría como ejemplo)</t>
  </si>
  <si>
    <t xml:space="preserve">Tienda Kawaii</t>
  </si>
  <si>
    <t xml:space="preserve">Tienda de accesorios</t>
  </si>
  <si>
    <t xml:space="preserve">Av. El Sol 252-254, Urb. San Carlos</t>
  </si>
  <si>
    <t xml:space="preserve">Frente a la UTP</t>
  </si>
  <si>
    <t xml:space="preserve">Catálogo en línea con pedidos por WhatsApp</t>
  </si>
  <si>
    <t xml:space="preserve">Cevichería d'Adrián</t>
  </si>
  <si>
    <t xml:space="preserve">Av. El Sol 466</t>
  </si>
  <si>
    <t xml:space="preserve">Hostal El Sol</t>
  </si>
  <si>
    <t xml:space="preserve">Av. El Sol Mz. D-1 Lt. 15 (N.° 511), Urb. San Carlos</t>
  </si>
  <si>
    <t xml:space="preserve">Altura del paradero San Carlos</t>
  </si>
  <si>
    <t xml:space="preserve">Hostal Santa Cruz</t>
  </si>
  <si>
    <t xml:space="preserve">Jr. Las Rocas 2424, Urb. San Carlos</t>
  </si>
  <si>
    <t xml:space="preserve">Restaurant El Norteño</t>
  </si>
  <si>
    <t xml:space="preserve">Av. El Sol y Av. Wiesse s/n, int. T-29, Urb. San Carlos</t>
  </si>
  <si>
    <t xml:space="preserve">Resumen de prospectos</t>
  </si>
  <si>
    <t xml:space="preserve">Por zona</t>
  </si>
  <si>
    <t xml:space="preserve">Negocios</t>
  </si>
  <si>
    <t xml:space="preserve">Total</t>
  </si>
  <si>
    <t xml:space="preserve">Por oportunidad</t>
  </si>
  <si>
    <t xml:space="preserve">Por estado (cambia al actualizar la columna Estado)</t>
  </si>
  <si>
    <t xml:space="preserve">Contactado</t>
  </si>
  <si>
    <t xml:space="preserve">Interesado</t>
  </si>
  <si>
    <t xml:space="preserve">Cita / visita</t>
  </si>
  <si>
    <t xml:space="preserve">Vendido</t>
  </si>
  <si>
    <t xml:space="preserve">No interesado</t>
  </si>
  <si>
    <t xml:space="preserve">Cómo usar esta lista</t>
  </si>
  <si>
    <t xml:space="preserve">1. Teléfono y ubicación exacta</t>
  </si>
  <si>
    <t xml:space="preserve">Toca «Abrir en Google Maps» en la hoja Negocios. En la ficha del negocio aparecen su teléfono, su ubicación en el mapa, las fotos del local y si ya tiene página web.</t>
  </si>
  <si>
    <t xml:space="preserve">Si Maps no lo encuentra, toca «Ver fuente»: es la página del directorio donde apareció.</t>
  </si>
  <si>
    <t xml:space="preserve">2. Columnas amarillas: las llenas tú</t>
  </si>
  <si>
    <t xml:space="preserve">Teléfono · Estado (lista desplegable) · Fecha de contacto · Notas. La hoja Resumen cuenta sola cuántos llevas en cada estado.</t>
  </si>
  <si>
    <t xml:space="preserve">Ejemplo de cómo llenarlas:  Teléfono «9XX XXX XXX» · Estado «Interesado» · Fecha «02/10/2026» · Notas «Pidió precio. Volver el lunes con propuesta».</t>
  </si>
  <si>
    <t xml:space="preserve">Estados: Pendiente → Contactado → Interesado → Cita / visita → Vendido (o No interesado).</t>
  </si>
  <si>
    <t xml:space="preserve">3. Por dónde empezar</t>
  </si>
  <si>
    <t xml:space="preserve">Primero los que dicen «Web nueva» y «Solo redes»: ya publican en Facebook o TikTok, así que les importa conseguir clientes por internet, pero no tienen web. Los de «Mejorar web» ya pagaron una vez: revisa su web en el celular antes de escribirles y diles qué le falta.</t>
  </si>
  <si>
    <t xml:space="preserve">Rubros que más pagan por una web: dentistas, veterinarias, hostales, gimnasios, academias y colegios, notarías.</t>
  </si>
  <si>
    <t xml:space="preserve">4. Mensaje sugerido (WhatsApp o en persona)</t>
  </si>
  <si>
    <t xml:space="preserve">Hola, buenas tardes. Soy [tu nombre], vecino de San Juan de Lurigancho. Hago páginas web para negocios de la zona. Vi [nombre del negocio] en [avenida] y creo que una web le ayudaría a que más clientes lo encuentren en Google y le escriban directo por WhatsApp. Le puedo mostrar una que hice para un taller de aquí mismo de SJL: [link de tu web de ejemplo]. ¿Le paso una propuesta sin compromiso?</t>
  </si>
  <si>
    <t xml:space="preserve">Si te dicen que no, no insistas: agradece y pasa al siguiente. Un «no» educado hoy puede ser un cliente dentro de unos meses.</t>
  </si>
  <si>
    <t xml:space="preserve">5. Qué NO está en la lista</t>
  </si>
  <si>
    <t xml:space="preserve">Cadenas grandes (InkaFarma, Tambo, BCP, Norky's, Roky's, Smart Fit, Ópticas GMO, COA, Multilab, Laser Dent Kids…): su web la maneja la oficina central, no el local.</t>
  </si>
  <si>
    <t xml:space="preserve">Los datos vienen de directorios públicos y pueden estar desactualizados: confirma en Maps que el negocio sigue abierto antes de ir.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</si>
</sst>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A"/>
      <name val="Arial"/>
      <family val="0"/>
      <charset val="1"/>
    </font>
    <font>
      <i val="true"/>
      <sz val="10"/>
      <color rgb="FF4453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6B7478"/>
      <name val="Arial"/>
      <family val="0"/>
      <charset val="1"/>
    </font>
    <font>
      <b val="true"/>
      <sz val="11"/>
      <color rgb="FF1F4E5A"/>
      <name val="Arial"/>
      <family val="0"/>
      <charset val="1"/>
    </font>
    <font>
      <sz val="11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A"/>
        <bgColor rgb="FF44535A"/>
      </patternFill>
    </fill>
    <fill>
      <patternFill patternType="solid">
        <fgColor rgb="FFFFF2CC"/>
        <bgColor rgb="FFF3F6F7"/>
      </patternFill>
    </fill>
    <fill>
      <patternFill patternType="solid">
        <fgColor rgb="FFF3F6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5A"/>
          <bgColor rgb="FF000000"/>
        </patternFill>
      </fill>
    </dxf>
    <dxf>
      <fill>
        <patternFill patternType="solid">
          <fgColor rgb="FFF3F6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6B7478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478"/>
      <rgbColor rgb="FF9999FF"/>
      <rgbColor rgb="FF993366"/>
      <rgbColor rgb="FFFFF2CC"/>
      <rgbColor rgb="FFF3F6F7"/>
      <rgbColor rgb="FF660066"/>
      <rgbColor rgb="FFFF8080"/>
      <rgbColor rgb="FF0563C1"/>
      <rgbColor rgb="FFD0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3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Cl&#237;nica+Dental+Salvadent%2C+Av.+Las+Flores+de+Primavera+1442%2C+San+Juan+de+Lurigancho%2C+Lima" TargetMode="External"/><Relationship Id="rId2" Type="http://schemas.openxmlformats.org/officeDocument/2006/relationships/hyperlink" Target="https://pe.near-place.com/clinica-dental-salvadent-avenue-flores-de-primavera-1442-san-juan-de-lurigancho/en" TargetMode="External"/><Relationship Id="rId3" Type="http://schemas.openxmlformats.org/officeDocument/2006/relationships/hyperlink" Target="https://www.google.com/maps/search/?api=1&amp;query=Cl&#237;nica+Veterinaria+Maskotop&#237;a%2C+Av.+Las+Flores+de+Primavera+1701%2C+San+Juan+de+Lurigancho%2C+Lima" TargetMode="External"/><Relationship Id="rId4" Type="http://schemas.openxmlformats.org/officeDocument/2006/relationships/hyperlink" Target="https://maskotopia.wixsite.com/maskotopia" TargetMode="External"/><Relationship Id="rId5" Type="http://schemas.openxmlformats.org/officeDocument/2006/relationships/hyperlink" Target="https://www.google.com/maps/search/?api=1&amp;query=Veterinaria+Peques+Pets%2C+Av.+Las+Flores+de+Primavera+1117%2C+San+Juan+de+Lurigancho%2C+Lima" TargetMode="External"/><Relationship Id="rId6" Type="http://schemas.openxmlformats.org/officeDocument/2006/relationships/hyperlink" Target="https://www.google.com/maps/search/?api=1&amp;query=Mundo+Pets+%28sede+Las+Flores%29%2C+Av.+Las+Flores+de+Primavera+1568%2C+San+Juan+de+Lurigancho%2C+Lima" TargetMode="External"/><Relationship Id="rId7" Type="http://schemas.openxmlformats.org/officeDocument/2006/relationships/hyperlink" Target="https://veterinariamundopets.com/" TargetMode="External"/><Relationship Id="rId8" Type="http://schemas.openxmlformats.org/officeDocument/2006/relationships/hyperlink" Target="https://www.google.com/maps/search/?api=1&amp;query=Cl&#237;nica+Veterinaria+Aristocat%2C+Calle+Los+Huertos+129%2C+Urb.+Las+Flores+de+Lima%2C+San+Juan+de+Lurigancho%2C+Lima" TargetMode="External"/><Relationship Id="rId9" Type="http://schemas.openxmlformats.org/officeDocument/2006/relationships/hyperlink" Target="https://www.cylex.com.pe/san-juan-de-lurigancho/clinica-veterinaria-aristocat-11167731.html" TargetMode="External"/><Relationship Id="rId10" Type="http://schemas.openxmlformats.org/officeDocument/2006/relationships/hyperlink" Target="https://www.google.com/maps/search/?api=1&amp;query=Gym+Mega+Force+%28sede+Las+Flores%29%2C+Av.+Las+Flores+de+Primavera+1238%2C+San+Juan+de+Lurigancho%2C+Lima" TargetMode="External"/><Relationship Id="rId11" Type="http://schemas.openxmlformats.org/officeDocument/2006/relationships/hyperlink" Target="https://feelingperu.com/gym-mega-force-las-flores-san-juan-de-lurigancho/" TargetMode="External"/><Relationship Id="rId12" Type="http://schemas.openxmlformats.org/officeDocument/2006/relationships/hyperlink" Target="https://www.google.com/maps/search/?api=1&amp;query=El+Capit&#225;n+Barber&#237;a%2C+Av.+Las+Flores+de+Primavera+1255%2C+San+Juan+de+Lurigancho%2C+Lima" TargetMode="External"/><Relationship Id="rId13" Type="http://schemas.openxmlformats.org/officeDocument/2006/relationships/hyperlink" Target="https://www.tiktok.com/@elcapitanbarberia/video/7392704411308526854" TargetMode="External"/><Relationship Id="rId14" Type="http://schemas.openxmlformats.org/officeDocument/2006/relationships/hyperlink" Target="https://www.google.com/maps/search/?api=1&amp;query=El+Legado+Barber&#237;a%2C+Av.+Las+Flores+de+Primavera+1285%2C+Urb.+Las+Flores%2C+San+Juan+de+Lurigancho%2C+Lima" TargetMode="External"/><Relationship Id="rId15" Type="http://schemas.openxmlformats.org/officeDocument/2006/relationships/hyperlink" Target="https://www.google.com/maps/search/?api=1&amp;query=Punto+8+Barber&#237;a+SJL%2C+Av.+Las+Flores+de+Primavera+1211%2C+San+Juan+de+Lurigancho%2C+Lima" TargetMode="External"/><Relationship Id="rId16" Type="http://schemas.openxmlformats.org/officeDocument/2006/relationships/hyperlink" Target="https://www.google.com/maps/search/?api=1&amp;query=Cambio+de+Look%2C+Av.+Las+Flores+de+Primavera+1089%2C+San+Juan+de+Lurigancho%2C+Lima" TargetMode="External"/><Relationship Id="rId17" Type="http://schemas.openxmlformats.org/officeDocument/2006/relationships/hyperlink" Target="https://www.google.com/maps/search/?api=1&amp;query=Luna+High+Studio%2C+Av.+Las+Flores+de+Primavera+1301%2C+San+Juan+de+Lurigancho%2C+Lima" TargetMode="External"/><Relationship Id="rId18" Type="http://schemas.openxmlformats.org/officeDocument/2006/relationships/hyperlink" Target="https://www.google.com/maps/search/?api=1&amp;query=Corralito+&#8211;+Pollos+y+Parrillas%2C+Av.+Las+Flores+de+Primavera+1787%2C+San+Juan+de+Lurigancho%2C+Lima" TargetMode="External"/><Relationship Id="rId19" Type="http://schemas.openxmlformats.org/officeDocument/2006/relationships/hyperlink" Target="https://restaurantguru.com/Polleria-Corralito-San-Juan-de-Lurigancho-2" TargetMode="External"/><Relationship Id="rId20" Type="http://schemas.openxmlformats.org/officeDocument/2006/relationships/hyperlink" Target="https://www.google.com/maps/search/?api=1&amp;query=Poller&#237;a+Ricco%2C+Av.+Las+Flores+de+Primavera%2C+San+Juan+de+Lurigancho%2C+Lima" TargetMode="External"/><Relationship Id="rId21" Type="http://schemas.openxmlformats.org/officeDocument/2006/relationships/hyperlink" Target="https://restaurantguru.com/Polleria-Ricco-San-Juan-de-Lurigancho" TargetMode="External"/><Relationship Id="rId22" Type="http://schemas.openxmlformats.org/officeDocument/2006/relationships/hyperlink" Target="https://www.google.com/maps/search/?api=1&amp;query=Las+Flores+MTL%2C+Av.+Las+Flores+de+Primavera+1163%2C+San+Juan+de+Lurigancho%2C+Lima" TargetMode="External"/><Relationship Id="rId23" Type="http://schemas.openxmlformats.org/officeDocument/2006/relationships/hyperlink" Target="https://mi-tercer-lugar-san-juan-de-lurigancho.ola.click/products" TargetMode="External"/><Relationship Id="rId24" Type="http://schemas.openxmlformats.org/officeDocument/2006/relationships/hyperlink" Target="https://www.google.com/maps/search/?api=1&amp;query=Colegio+Jean+Piaget+&#8211;+Las+Flores%2C+Jr.+Milenramas+752%2C+Urb.+Las+Flores+de+Primavera%2C+San+Juan+de+Lurigancho%2C+Lima" TargetMode="External"/><Relationship Id="rId25" Type="http://schemas.openxmlformats.org/officeDocument/2006/relationships/hyperlink" Target="https://www.facebook.com/ColegioJeanPiagetLasFlores/" TargetMode="External"/><Relationship Id="rId26" Type="http://schemas.openxmlformats.org/officeDocument/2006/relationships/hyperlink" Target="https://www.google.com/maps/search/?api=1&amp;query=Hostal+La+Hacienda%2C+Av.+Los+Jardines+Oeste+247%2C+San+Juan+de+Lurigancho%2C+Lima" TargetMode="External"/><Relationship Id="rId27" Type="http://schemas.openxmlformats.org/officeDocument/2006/relationships/hyperlink" Target="https://es.cybo.com/PE-biz/hostal-la-hacienda" TargetMode="External"/><Relationship Id="rId28" Type="http://schemas.openxmlformats.org/officeDocument/2006/relationships/hyperlink" Target="https://www.google.com/maps/search/?api=1&amp;query=Odonto+Marcos%2C+Av.+Los+Jardines+Oeste+249%2C+San+Juan+de+Lurigancho%2C+Lima" TargetMode="External"/><Relationship Id="rId29" Type="http://schemas.openxmlformats.org/officeDocument/2006/relationships/hyperlink" Target="https://www.instagram.com/clinicaodontomarcos.sjl/" TargetMode="External"/><Relationship Id="rId30" Type="http://schemas.openxmlformats.org/officeDocument/2006/relationships/hyperlink" Target="https://www.google.com/maps/search/?api=1&amp;query=Cl&#237;nica+Dental+Implant+SJL%2C+Av.+Los+Jardines+Oeste+160%2C+2.&#186;+piso%2C+San+Juan+de+Lurigancho%2C+Lima" TargetMode="External"/><Relationship Id="rId31" Type="http://schemas.openxmlformats.org/officeDocument/2006/relationships/hyperlink" Target="https://clinicadentalimplant.com/" TargetMode="External"/><Relationship Id="rId32" Type="http://schemas.openxmlformats.org/officeDocument/2006/relationships/hyperlink" Target="https://www.google.com/maps/search/?api=1&amp;query=AMALY+Spa%2C+Av.+Los+Jardines+Oeste+125%2C+San+Juan+de+Lurigancho%2C+Lima" TargetMode="External"/><Relationship Id="rId33" Type="http://schemas.openxmlformats.org/officeDocument/2006/relationships/hyperlink" Target="https://www.instagram.com/amaly.spa/" TargetMode="External"/><Relationship Id="rId34" Type="http://schemas.openxmlformats.org/officeDocument/2006/relationships/hyperlink" Target="https://www.google.com/maps/search/?api=1&amp;query=Sal&#243;n+%26+Spa+Venus%2C+Av.+Los+Jardines+Oeste+239A%2C+Urb.+Las+Flores+de+Lima%2C+San+Juan+de+Lurigancho%2C+Lima" TargetMode="External"/><Relationship Id="rId35" Type="http://schemas.openxmlformats.org/officeDocument/2006/relationships/hyperlink" Target="https://www.google.com/maps/search/?api=1&amp;query=Vanidosas+Salon+%26+Spa%2C+Av.+Los+Jardines+Este+283%2C+San+Juan+de+Lurigancho%2C+Lima" TargetMode="External"/><Relationship Id="rId36" Type="http://schemas.openxmlformats.org/officeDocument/2006/relationships/hyperlink" Target="https://www.facebook.com/Vanidosas.salonspa/" TargetMode="External"/><Relationship Id="rId37" Type="http://schemas.openxmlformats.org/officeDocument/2006/relationships/hyperlink" Target="https://www.google.com/maps/search/?api=1&amp;query=Chifa+Los+Jardines%2C+Av.+Los+Jardines+Este+176%2C+San+Juan+de+Lurigancho%2C+Lima" TargetMode="External"/><Relationship Id="rId38" Type="http://schemas.openxmlformats.org/officeDocument/2006/relationships/hyperlink" Target="https://www.waze.com/live-map/directions/chifa-los-jardines-av.-los-jardines-este-176-san-juan-de-lurigancho?to=place.w.185468560.1854620063.16915909" TargetMode="External"/><Relationship Id="rId39" Type="http://schemas.openxmlformats.org/officeDocument/2006/relationships/hyperlink" Target="https://www.google.com/maps/search/?api=1&amp;query=Restaurante+Cevicher&#237;a+El+Buen+Sabor%2C+Av.+Los+Jardines+Este+139%2C+San+Juan+de+Lurigancho%2C+Lima" TargetMode="External"/><Relationship Id="rId40" Type="http://schemas.openxmlformats.org/officeDocument/2006/relationships/hyperlink" Target="https://carta.menu/restaurants/san-juan-de-lurigancho/restaurante-cevicheria-el-buen-sabor" TargetMode="External"/><Relationship Id="rId41" Type="http://schemas.openxmlformats.org/officeDocument/2006/relationships/hyperlink" Target="https://www.google.com/maps/search/?api=1&amp;query=Cevicher&#237;a+Don+Pez%2C+Jr.+Los+Ricinos+1039%2C+Los+Jardines%2C+San+Juan+de+Lurigancho%2C+Lima" TargetMode="External"/><Relationship Id="rId42" Type="http://schemas.openxmlformats.org/officeDocument/2006/relationships/hyperlink" Target="https://restaurantguru.com/Restaurante-Cevicheria-Don-Pez-San-Juan-de-Lurigancho" TargetMode="External"/><Relationship Id="rId43" Type="http://schemas.openxmlformats.org/officeDocument/2006/relationships/hyperlink" Target="https://www.google.com/maps/search/?api=1&amp;query=Veterinaria+Posta+Oasis+%28Jardines%29%2C+Av.+13+de+Enero+1708%2C+San+Juan+de+Lurigancho%2C+Lima" TargetMode="External"/><Relationship Id="rId44" Type="http://schemas.openxmlformats.org/officeDocument/2006/relationships/hyperlink" Target="https://www.google.com/maps/search/?api=1&amp;query=Chifa+Yao+Fu%2C+Av.+Pr&#243;ceres+de+la+Independencia+728%2C+San+Juan+de+Lurigancho%2C+Lima" TargetMode="External"/><Relationship Id="rId45" Type="http://schemas.openxmlformats.org/officeDocument/2006/relationships/hyperlink" Target="https://www.cybo.com/PE-biz/chifa-yao-fu_2b" TargetMode="External"/><Relationship Id="rId46" Type="http://schemas.openxmlformats.org/officeDocument/2006/relationships/hyperlink" Target="https://www.google.com/maps/search/?api=1&amp;query=Hostal+Jerusal&#233;n%2C+Av.+Pr&#243;ceres+de+la+Independencia+595%2C+Urb.+Las+Flores%2C+San+Juan+de+Lurigancho%2C+Lima" TargetMode="External"/><Relationship Id="rId47" Type="http://schemas.openxmlformats.org/officeDocument/2006/relationships/hyperlink" Target="https://aquihoteles.com/peru/lima/lima/san-juan-de-lurigancho/" TargetMode="External"/><Relationship Id="rId48" Type="http://schemas.openxmlformats.org/officeDocument/2006/relationships/hyperlink" Target="https://www.google.com/maps/search/?api=1&amp;query=Hostal+Cielo%2C+Av.+Pr&#243;ceres+de+la+Independencia+576%2C+San+Juan+de+Lurigancho%2C+Lima" TargetMode="External"/><Relationship Id="rId49" Type="http://schemas.openxmlformats.org/officeDocument/2006/relationships/hyperlink" Target="https://aquihoteles.com/peru/lima/lima/san-juan-de-lurigancho/" TargetMode="External"/><Relationship Id="rId50" Type="http://schemas.openxmlformats.org/officeDocument/2006/relationships/hyperlink" Target="https://www.google.com/maps/search/?api=1&amp;query=Gym+Mega+Force+%28sede+Hacienda%29%2C+Av.+Pr&#243;ceres+de+la+Independencia+1715%2C+San+Juan+de+Lurigancho%2C+Lima" TargetMode="External"/><Relationship Id="rId51" Type="http://schemas.openxmlformats.org/officeDocument/2006/relationships/hyperlink" Target="https://www.facebook.com/megaforce.hacienda/" TargetMode="External"/><Relationship Id="rId52" Type="http://schemas.openxmlformats.org/officeDocument/2006/relationships/hyperlink" Target="https://www.google.com/maps/search/?api=1&amp;query=Notar&#237;a+Villota%2C+Av.+Pr&#243;ceres+de+la+Independencia+1722%2C+San+Juan+de+Lurigancho%2C+Lima" TargetMode="External"/><Relationship Id="rId53" Type="http://schemas.openxmlformats.org/officeDocument/2006/relationships/hyperlink" Target="https://www.emis.com/php/company-profile/PE/Notaria_Villota__villota_Cerna_Marco_Antonio__es_9666830.html" TargetMode="External"/><Relationship Id="rId54" Type="http://schemas.openxmlformats.org/officeDocument/2006/relationships/hyperlink" Target="https://www.google.com/maps/search/?api=1&amp;query=Hostal+Nubeluz%2C+Av.+Pr&#243;ceres+de+la+Independencia+2001%2C+Urb.+San+Hilari&#243;n%2C+San+Juan+de+Lurigancho%2C+Lima" TargetMode="External"/><Relationship Id="rId55" Type="http://schemas.openxmlformats.org/officeDocument/2006/relationships/hyperlink" Target="https://aquihoteles.com/peru/lima/lima/san-juan-de-lurigancho/" TargetMode="External"/><Relationship Id="rId56" Type="http://schemas.openxmlformats.org/officeDocument/2006/relationships/hyperlink" Target="https://www.google.com/maps/search/?api=1&amp;query=Hostal+Castillo%2C+Av.+Los+Postes+233%2C+San+Juan+de+Lurigancho%2C+Lima" TargetMode="External"/><Relationship Id="rId57" Type="http://schemas.openxmlformats.org/officeDocument/2006/relationships/hyperlink" Target="https://aquihoteles.com/peru/lima/lima/san-juan-de-lurigancho/hostal/hostal-en-san-juan-de-lurigancho-castillo/" TargetMode="External"/><Relationship Id="rId58" Type="http://schemas.openxmlformats.org/officeDocument/2006/relationships/hyperlink" Target="https://www.google.com/maps/search/?api=1&amp;query=Cl&#237;nica+Dental+Odontoman&#237;a%2C+Av.+Pr&#243;ceres+de+la+Independencia+2286%2C+2.&#186;+piso%2C+San+Juan+de+Lurigancho%2C+Lima" TargetMode="External"/><Relationship Id="rId59" Type="http://schemas.openxmlformats.org/officeDocument/2006/relationships/hyperlink" Target="https://www.tiktok.com/@odontomania/video/7380515548674755846" TargetMode="External"/><Relationship Id="rId60" Type="http://schemas.openxmlformats.org/officeDocument/2006/relationships/hyperlink" Target="https://www.google.com/maps/search/?api=1&amp;query=La+Pollerona+&#8211;+San+Hilari&#243;n%2C+Av.+Pr&#243;ceres+de+la+Independencia+2292%2C+San+Juan+de+Lurigancho%2C+Lima" TargetMode="External"/><Relationship Id="rId61" Type="http://schemas.openxmlformats.org/officeDocument/2006/relationships/hyperlink" Target="https://wanderboat.ai/restaurants/peru/lima-metropolitan-area/la-pollerona-san-hilarion/9i3EAUCeSNGaXDyUKQR4bQ" TargetMode="External"/><Relationship Id="rId62" Type="http://schemas.openxmlformats.org/officeDocument/2006/relationships/hyperlink" Target="https://www.google.com/maps/search/?api=1&amp;query=SAVIA+Academia+Preuniversitaria%2C+Av.+Pr&#243;ceres+de+la+Independencia+2175%2C+San+Juan+de+Lurigancho%2C+Lima" TargetMode="External"/><Relationship Id="rId63" Type="http://schemas.openxmlformats.org/officeDocument/2006/relationships/hyperlink" Target="https://www.google.com/maps/search/?api=1&amp;query=A+la+Gloria+Jugos+y+S&#225;ndwiches%2C+Av.+Los+Postes+Este+346%2C+San+Juan+de+Lurigancho%2C+Lima" TargetMode="External"/><Relationship Id="rId64" Type="http://schemas.openxmlformats.org/officeDocument/2006/relationships/hyperlink" Target="https://restaurantguru.com/SANDWICH-Y-JUGOS-A-LA-GLORIA-San-Juan-de-Lurigancho" TargetMode="External"/><Relationship Id="rId65" Type="http://schemas.openxmlformats.org/officeDocument/2006/relationships/hyperlink" Target="https://www.google.com/maps/search/?api=1&amp;query=Restaurante+Moche+&#8211;+San+Carlos%2C+Av.+Pr&#243;ceres+de+la+Independencia+2721%2C+San+Juan+de+Lurigancho%2C+Lima" TargetMode="External"/><Relationship Id="rId66" Type="http://schemas.openxmlformats.org/officeDocument/2006/relationships/hyperlink" Target="https://restaurantguru.com/Restaurant-Moche-San-Juan-de-Lurigancho" TargetMode="External"/><Relationship Id="rId67" Type="http://schemas.openxmlformats.org/officeDocument/2006/relationships/hyperlink" Target="https://www.google.com/maps/search/?api=1&amp;query=San+Carlos+Automotriz%2C+Av.+Pr&#243;ceres+de+la+Independencia+2735%2C+San+Juan+de+Lurigancho%2C+Lima" TargetMode="External"/><Relationship Id="rId68" Type="http://schemas.openxmlformats.org/officeDocument/2006/relationships/hyperlink" Target="https://www.paginasamarillas.com.pe/empresas/san-carlos-automotriz/san-juan-de-lurigancho-584634" TargetMode="External"/><Relationship Id="rId69" Type="http://schemas.openxmlformats.org/officeDocument/2006/relationships/hyperlink" Target="https://www.google.com/maps/search/?api=1&amp;query=Tienda+Kawaii%2C+Av.+El+Sol+252-254%2C+Urb.+San+Carlos%2C+San+Juan+de+Lurigancho%2C+Lima" TargetMode="External"/><Relationship Id="rId70" Type="http://schemas.openxmlformats.org/officeDocument/2006/relationships/hyperlink" Target="https://www.google.com/maps/search/?api=1&amp;query=Cevicher&#237;a+d%27Adri&#225;n%2C+Av.+El+Sol+466%2C+San+Juan+de+Lurigancho%2C+Lima" TargetMode="External"/><Relationship Id="rId71" Type="http://schemas.openxmlformats.org/officeDocument/2006/relationships/hyperlink" Target="https://www.google.com/maps/search/?api=1&amp;query=Hostal+El+Sol%2C+Av.+El+Sol+511%2C+San+Juan+de+Lurigancho%2C+Lima" TargetMode="External"/><Relationship Id="rId72" Type="http://schemas.openxmlformats.org/officeDocument/2006/relationships/hyperlink" Target="https://aquihoteles.com/peru/lima/lima/san-juan-de-lurigancho/hostal/hostal-en-san-juan-de-lurigancho-el-sol/" TargetMode="External"/><Relationship Id="rId73" Type="http://schemas.openxmlformats.org/officeDocument/2006/relationships/hyperlink" Target="https://www.google.com/maps/search/?api=1&amp;query=Hostal+Santa+Cruz%2C+Jr.+Las+Rocas+2424%2C+Urb.+San+Carlos%2C+San+Juan+de+Lurigancho%2C+Lima" TargetMode="External"/><Relationship Id="rId74" Type="http://schemas.openxmlformats.org/officeDocument/2006/relationships/hyperlink" Target="https://aquihoteles.com/peru/lima/lima/san-juan-de-lurigancho/" TargetMode="External"/><Relationship Id="rId75" Type="http://schemas.openxmlformats.org/officeDocument/2006/relationships/hyperlink" Target="https://www.google.com/maps/search/?api=1&amp;query=Restaurant+El+Norte&#241;o%2C+Av.+El+Sol%2C+Urb.+San+Carlos%2C+San+Juan+de+Lurigancho%2C+Lima" TargetMode="External"/><Relationship Id="rId76" Type="http://schemas.openxmlformats.org/officeDocument/2006/relationships/hyperlink" Target="https://deperu.com/comercios/restaurantes/restaurant-el-norteno-57153" TargetMode="External"/><Relationship Id="rId7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36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48"/>
    <col collapsed="false" customWidth="true" hidden="false" outlineLevel="0" max="11" min="11" style="0" width="13"/>
    <col collapsed="false" customWidth="true" hidden="false" outlineLevel="0" max="12" min="12" style="0" width="18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23.85" hidden="false" customHeight="false" outlineLevel="0" collapsed="false">
      <c r="A5" s="4" t="n">
        <v>1</v>
      </c>
      <c r="B5" s="5" t="s">
        <v>17</v>
      </c>
      <c r="C5" s="4" t="s">
        <v>18</v>
      </c>
      <c r="D5" s="4" t="s">
        <v>19</v>
      </c>
      <c r="E5" s="4" t="s">
        <v>20</v>
      </c>
      <c r="F5" s="4"/>
      <c r="G5" s="6" t="s">
        <v>21</v>
      </c>
      <c r="H5" s="4" t="s">
        <v>22</v>
      </c>
      <c r="I5" s="4" t="s">
        <v>23</v>
      </c>
      <c r="J5" s="4" t="s">
        <v>24</v>
      </c>
      <c r="K5" s="6" t="s">
        <v>25</v>
      </c>
      <c r="L5" s="7"/>
      <c r="M5" s="7" t="s">
        <v>26</v>
      </c>
      <c r="N5" s="8"/>
      <c r="O5" s="7"/>
    </row>
    <row r="6" customFormat="false" ht="23.85" hidden="false" customHeight="false" outlineLevel="0" collapsed="false">
      <c r="A6" s="9" t="n">
        <v>2</v>
      </c>
      <c r="B6" s="10" t="s">
        <v>27</v>
      </c>
      <c r="C6" s="9" t="s">
        <v>28</v>
      </c>
      <c r="D6" s="9" t="s">
        <v>19</v>
      </c>
      <c r="E6" s="9" t="s">
        <v>29</v>
      </c>
      <c r="F6" s="9"/>
      <c r="G6" s="11" t="s">
        <v>21</v>
      </c>
      <c r="H6" s="9" t="s">
        <v>30</v>
      </c>
      <c r="I6" s="9" t="s">
        <v>31</v>
      </c>
      <c r="J6" s="9" t="s">
        <v>32</v>
      </c>
      <c r="K6" s="11" t="s">
        <v>25</v>
      </c>
      <c r="L6" s="7"/>
      <c r="M6" s="7" t="s">
        <v>26</v>
      </c>
      <c r="N6" s="8"/>
      <c r="O6" s="7"/>
    </row>
    <row r="7" customFormat="false" ht="15" hidden="false" customHeight="false" outlineLevel="0" collapsed="false">
      <c r="A7" s="4" t="n">
        <v>3</v>
      </c>
      <c r="B7" s="5" t="s">
        <v>33</v>
      </c>
      <c r="C7" s="4" t="s">
        <v>28</v>
      </c>
      <c r="D7" s="4" t="s">
        <v>19</v>
      </c>
      <c r="E7" s="4" t="s">
        <v>34</v>
      </c>
      <c r="F7" s="4"/>
      <c r="G7" s="6" t="s">
        <v>21</v>
      </c>
      <c r="H7" s="4" t="s">
        <v>22</v>
      </c>
      <c r="I7" s="4" t="s">
        <v>23</v>
      </c>
      <c r="J7" s="4" t="s">
        <v>35</v>
      </c>
      <c r="K7" s="12" t="s">
        <v>36</v>
      </c>
      <c r="L7" s="7"/>
      <c r="M7" s="7" t="s">
        <v>26</v>
      </c>
      <c r="N7" s="8"/>
      <c r="O7" s="7"/>
    </row>
    <row r="8" customFormat="false" ht="23.85" hidden="false" customHeight="false" outlineLevel="0" collapsed="false">
      <c r="A8" s="9" t="n">
        <v>4</v>
      </c>
      <c r="B8" s="10" t="s">
        <v>37</v>
      </c>
      <c r="C8" s="9" t="s">
        <v>28</v>
      </c>
      <c r="D8" s="9" t="s">
        <v>19</v>
      </c>
      <c r="E8" s="9" t="s">
        <v>38</v>
      </c>
      <c r="F8" s="9"/>
      <c r="G8" s="11" t="s">
        <v>21</v>
      </c>
      <c r="H8" s="9" t="s">
        <v>39</v>
      </c>
      <c r="I8" s="9" t="s">
        <v>31</v>
      </c>
      <c r="J8" s="9" t="s">
        <v>32</v>
      </c>
      <c r="K8" s="11" t="s">
        <v>25</v>
      </c>
      <c r="L8" s="7"/>
      <c r="M8" s="7" t="s">
        <v>26</v>
      </c>
      <c r="N8" s="8"/>
      <c r="O8" s="7"/>
    </row>
    <row r="9" customFormat="false" ht="15" hidden="false" customHeight="false" outlineLevel="0" collapsed="false">
      <c r="A9" s="4" t="n">
        <v>5</v>
      </c>
      <c r="B9" s="5" t="s">
        <v>40</v>
      </c>
      <c r="C9" s="4" t="s">
        <v>28</v>
      </c>
      <c r="D9" s="4" t="s">
        <v>19</v>
      </c>
      <c r="E9" s="4" t="s">
        <v>41</v>
      </c>
      <c r="F9" s="4"/>
      <c r="G9" s="6" t="s">
        <v>21</v>
      </c>
      <c r="H9" s="4" t="s">
        <v>22</v>
      </c>
      <c r="I9" s="4" t="s">
        <v>23</v>
      </c>
      <c r="J9" s="4" t="s">
        <v>35</v>
      </c>
      <c r="K9" s="6" t="s">
        <v>25</v>
      </c>
      <c r="L9" s="7"/>
      <c r="M9" s="7" t="s">
        <v>26</v>
      </c>
      <c r="N9" s="8"/>
      <c r="O9" s="7"/>
    </row>
    <row r="10" customFormat="false" ht="23.85" hidden="false" customHeight="false" outlineLevel="0" collapsed="false">
      <c r="A10" s="9" t="n">
        <v>6</v>
      </c>
      <c r="B10" s="10" t="s">
        <v>42</v>
      </c>
      <c r="C10" s="9" t="s">
        <v>43</v>
      </c>
      <c r="D10" s="9" t="s">
        <v>19</v>
      </c>
      <c r="E10" s="9" t="s">
        <v>44</v>
      </c>
      <c r="F10" s="9" t="s">
        <v>45</v>
      </c>
      <c r="G10" s="11" t="s">
        <v>21</v>
      </c>
      <c r="H10" s="9" t="s">
        <v>46</v>
      </c>
      <c r="I10" s="9" t="s">
        <v>23</v>
      </c>
      <c r="J10" s="9" t="s">
        <v>47</v>
      </c>
      <c r="K10" s="11" t="s">
        <v>25</v>
      </c>
      <c r="L10" s="7"/>
      <c r="M10" s="7" t="s">
        <v>26</v>
      </c>
      <c r="N10" s="8"/>
      <c r="O10" s="7"/>
    </row>
    <row r="11" customFormat="false" ht="23.85" hidden="false" customHeight="false" outlineLevel="0" collapsed="false">
      <c r="A11" s="4" t="n">
        <v>7</v>
      </c>
      <c r="B11" s="5" t="s">
        <v>48</v>
      </c>
      <c r="C11" s="4" t="s">
        <v>49</v>
      </c>
      <c r="D11" s="4" t="s">
        <v>19</v>
      </c>
      <c r="E11" s="4" t="s">
        <v>50</v>
      </c>
      <c r="F11" s="4" t="s">
        <v>51</v>
      </c>
      <c r="G11" s="6" t="s">
        <v>21</v>
      </c>
      <c r="H11" s="4" t="s">
        <v>52</v>
      </c>
      <c r="I11" s="4" t="s">
        <v>23</v>
      </c>
      <c r="J11" s="4" t="s">
        <v>53</v>
      </c>
      <c r="K11" s="6" t="s">
        <v>25</v>
      </c>
      <c r="L11" s="7"/>
      <c r="M11" s="7" t="s">
        <v>26</v>
      </c>
      <c r="N11" s="8"/>
      <c r="O11" s="7"/>
    </row>
    <row r="12" customFormat="false" ht="15" hidden="false" customHeight="false" outlineLevel="0" collapsed="false">
      <c r="A12" s="9" t="n">
        <v>8</v>
      </c>
      <c r="B12" s="10" t="s">
        <v>54</v>
      </c>
      <c r="C12" s="9" t="s">
        <v>49</v>
      </c>
      <c r="D12" s="9" t="s">
        <v>19</v>
      </c>
      <c r="E12" s="9" t="s">
        <v>55</v>
      </c>
      <c r="F12" s="9"/>
      <c r="G12" s="11" t="s">
        <v>21</v>
      </c>
      <c r="H12" s="9" t="s">
        <v>22</v>
      </c>
      <c r="I12" s="9" t="s">
        <v>23</v>
      </c>
      <c r="J12" s="9" t="s">
        <v>53</v>
      </c>
      <c r="K12" s="13" t="s">
        <v>36</v>
      </c>
      <c r="L12" s="7"/>
      <c r="M12" s="7" t="s">
        <v>26</v>
      </c>
      <c r="N12" s="8"/>
      <c r="O12" s="7"/>
    </row>
    <row r="13" customFormat="false" ht="15" hidden="false" customHeight="false" outlineLevel="0" collapsed="false">
      <c r="A13" s="4" t="n">
        <v>9</v>
      </c>
      <c r="B13" s="5" t="s">
        <v>56</v>
      </c>
      <c r="C13" s="4" t="s">
        <v>49</v>
      </c>
      <c r="D13" s="4" t="s">
        <v>19</v>
      </c>
      <c r="E13" s="4" t="s">
        <v>57</v>
      </c>
      <c r="F13" s="4"/>
      <c r="G13" s="6" t="s">
        <v>21</v>
      </c>
      <c r="H13" s="4" t="s">
        <v>22</v>
      </c>
      <c r="I13" s="4" t="s">
        <v>23</v>
      </c>
      <c r="J13" s="4" t="s">
        <v>53</v>
      </c>
      <c r="K13" s="12" t="s">
        <v>36</v>
      </c>
      <c r="L13" s="7"/>
      <c r="M13" s="7" t="s">
        <v>26</v>
      </c>
      <c r="N13" s="8"/>
      <c r="O13" s="7"/>
    </row>
    <row r="14" customFormat="false" ht="15" hidden="false" customHeight="false" outlineLevel="0" collapsed="false">
      <c r="A14" s="9" t="n">
        <v>10</v>
      </c>
      <c r="B14" s="10" t="s">
        <v>58</v>
      </c>
      <c r="C14" s="9" t="s">
        <v>59</v>
      </c>
      <c r="D14" s="9" t="s">
        <v>19</v>
      </c>
      <c r="E14" s="9" t="s">
        <v>60</v>
      </c>
      <c r="F14" s="9"/>
      <c r="G14" s="11" t="s">
        <v>21</v>
      </c>
      <c r="H14" s="9" t="s">
        <v>22</v>
      </c>
      <c r="I14" s="9" t="s">
        <v>23</v>
      </c>
      <c r="J14" s="9" t="s">
        <v>53</v>
      </c>
      <c r="K14" s="13" t="s">
        <v>36</v>
      </c>
      <c r="L14" s="7"/>
      <c r="M14" s="7" t="s">
        <v>26</v>
      </c>
      <c r="N14" s="8"/>
      <c r="O14" s="7"/>
    </row>
    <row r="15" customFormat="false" ht="15" hidden="false" customHeight="false" outlineLevel="0" collapsed="false">
      <c r="A15" s="4" t="n">
        <v>11</v>
      </c>
      <c r="B15" s="5" t="s">
        <v>61</v>
      </c>
      <c r="C15" s="4" t="s">
        <v>62</v>
      </c>
      <c r="D15" s="4" t="s">
        <v>19</v>
      </c>
      <c r="E15" s="4" t="s">
        <v>63</v>
      </c>
      <c r="F15" s="4"/>
      <c r="G15" s="6" t="s">
        <v>21</v>
      </c>
      <c r="H15" s="4" t="s">
        <v>22</v>
      </c>
      <c r="I15" s="4" t="s">
        <v>23</v>
      </c>
      <c r="J15" s="4" t="s">
        <v>53</v>
      </c>
      <c r="K15" s="12" t="s">
        <v>36</v>
      </c>
      <c r="L15" s="7"/>
      <c r="M15" s="7" t="s">
        <v>26</v>
      </c>
      <c r="N15" s="8"/>
      <c r="O15" s="7"/>
    </row>
    <row r="16" customFormat="false" ht="15" hidden="false" customHeight="false" outlineLevel="0" collapsed="false">
      <c r="A16" s="9" t="n">
        <v>12</v>
      </c>
      <c r="B16" s="10" t="s">
        <v>64</v>
      </c>
      <c r="C16" s="9" t="s">
        <v>65</v>
      </c>
      <c r="D16" s="9" t="s">
        <v>19</v>
      </c>
      <c r="E16" s="9" t="s">
        <v>66</v>
      </c>
      <c r="F16" s="9"/>
      <c r="G16" s="11" t="s">
        <v>21</v>
      </c>
      <c r="H16" s="9" t="s">
        <v>22</v>
      </c>
      <c r="I16" s="9" t="s">
        <v>23</v>
      </c>
      <c r="J16" s="9" t="s">
        <v>67</v>
      </c>
      <c r="K16" s="11" t="s">
        <v>25</v>
      </c>
      <c r="L16" s="7"/>
      <c r="M16" s="7" t="s">
        <v>26</v>
      </c>
      <c r="N16" s="8"/>
      <c r="O16" s="7"/>
    </row>
    <row r="17" customFormat="false" ht="23.85" hidden="false" customHeight="false" outlineLevel="0" collapsed="false">
      <c r="A17" s="4" t="n">
        <v>13</v>
      </c>
      <c r="B17" s="5" t="s">
        <v>68</v>
      </c>
      <c r="C17" s="4" t="s">
        <v>65</v>
      </c>
      <c r="D17" s="4" t="s">
        <v>19</v>
      </c>
      <c r="E17" s="4" t="s">
        <v>69</v>
      </c>
      <c r="F17" s="4" t="s">
        <v>70</v>
      </c>
      <c r="G17" s="6" t="s">
        <v>21</v>
      </c>
      <c r="H17" s="4" t="s">
        <v>22</v>
      </c>
      <c r="I17" s="4" t="s">
        <v>23</v>
      </c>
      <c r="J17" s="4" t="s">
        <v>67</v>
      </c>
      <c r="K17" s="6" t="s">
        <v>25</v>
      </c>
      <c r="L17" s="7"/>
      <c r="M17" s="7" t="s">
        <v>26</v>
      </c>
      <c r="N17" s="8"/>
      <c r="O17" s="7"/>
    </row>
    <row r="18" customFormat="false" ht="23.85" hidden="false" customHeight="false" outlineLevel="0" collapsed="false">
      <c r="A18" s="9" t="n">
        <v>14</v>
      </c>
      <c r="B18" s="10" t="s">
        <v>71</v>
      </c>
      <c r="C18" s="9" t="s">
        <v>72</v>
      </c>
      <c r="D18" s="9" t="s">
        <v>19</v>
      </c>
      <c r="E18" s="9" t="s">
        <v>73</v>
      </c>
      <c r="F18" s="9"/>
      <c r="G18" s="11" t="s">
        <v>21</v>
      </c>
      <c r="H18" s="9" t="s">
        <v>74</v>
      </c>
      <c r="I18" s="9" t="s">
        <v>31</v>
      </c>
      <c r="J18" s="9" t="s">
        <v>32</v>
      </c>
      <c r="K18" s="11" t="s">
        <v>25</v>
      </c>
      <c r="L18" s="7"/>
      <c r="M18" s="7" t="s">
        <v>26</v>
      </c>
      <c r="N18" s="8"/>
      <c r="O18" s="7"/>
    </row>
    <row r="19" customFormat="false" ht="15" hidden="false" customHeight="false" outlineLevel="0" collapsed="false">
      <c r="A19" s="4" t="n">
        <v>15</v>
      </c>
      <c r="B19" s="5" t="s">
        <v>75</v>
      </c>
      <c r="C19" s="4" t="s">
        <v>76</v>
      </c>
      <c r="D19" s="4" t="s">
        <v>19</v>
      </c>
      <c r="E19" s="4" t="s">
        <v>77</v>
      </c>
      <c r="F19" s="4"/>
      <c r="G19" s="6" t="s">
        <v>21</v>
      </c>
      <c r="H19" s="4" t="s">
        <v>46</v>
      </c>
      <c r="I19" s="4" t="s">
        <v>23</v>
      </c>
      <c r="J19" s="4" t="s">
        <v>78</v>
      </c>
      <c r="K19" s="6" t="s">
        <v>25</v>
      </c>
      <c r="L19" s="7"/>
      <c r="M19" s="7" t="s">
        <v>26</v>
      </c>
      <c r="N19" s="8"/>
      <c r="O19" s="7"/>
    </row>
    <row r="20" customFormat="false" ht="15" hidden="false" customHeight="false" outlineLevel="0" collapsed="false">
      <c r="A20" s="9" t="n">
        <v>16</v>
      </c>
      <c r="B20" s="10" t="s">
        <v>79</v>
      </c>
      <c r="C20" s="9" t="s">
        <v>80</v>
      </c>
      <c r="D20" s="9" t="s">
        <v>81</v>
      </c>
      <c r="E20" s="9" t="s">
        <v>82</v>
      </c>
      <c r="F20" s="9"/>
      <c r="G20" s="11" t="s">
        <v>21</v>
      </c>
      <c r="H20" s="9" t="s">
        <v>22</v>
      </c>
      <c r="I20" s="9" t="s">
        <v>23</v>
      </c>
      <c r="J20" s="9" t="s">
        <v>83</v>
      </c>
      <c r="K20" s="11" t="s">
        <v>25</v>
      </c>
      <c r="L20" s="7"/>
      <c r="M20" s="7" t="s">
        <v>26</v>
      </c>
      <c r="N20" s="8"/>
      <c r="O20" s="7"/>
    </row>
    <row r="21" customFormat="false" ht="23.85" hidden="false" customHeight="false" outlineLevel="0" collapsed="false">
      <c r="A21" s="4" t="n">
        <v>17</v>
      </c>
      <c r="B21" s="5" t="s">
        <v>84</v>
      </c>
      <c r="C21" s="4" t="s">
        <v>18</v>
      </c>
      <c r="D21" s="4" t="s">
        <v>81</v>
      </c>
      <c r="E21" s="4" t="s">
        <v>85</v>
      </c>
      <c r="F21" s="4"/>
      <c r="G21" s="6" t="s">
        <v>21</v>
      </c>
      <c r="H21" s="4" t="s">
        <v>86</v>
      </c>
      <c r="I21" s="4" t="s">
        <v>23</v>
      </c>
      <c r="J21" s="4" t="s">
        <v>24</v>
      </c>
      <c r="K21" s="6" t="s">
        <v>25</v>
      </c>
      <c r="L21" s="7"/>
      <c r="M21" s="7" t="s">
        <v>26</v>
      </c>
      <c r="N21" s="8"/>
      <c r="O21" s="7"/>
    </row>
    <row r="22" customFormat="false" ht="23.85" hidden="false" customHeight="false" outlineLevel="0" collapsed="false">
      <c r="A22" s="9" t="n">
        <v>18</v>
      </c>
      <c r="B22" s="10" t="s">
        <v>87</v>
      </c>
      <c r="C22" s="9" t="s">
        <v>18</v>
      </c>
      <c r="D22" s="9" t="s">
        <v>81</v>
      </c>
      <c r="E22" s="9" t="s">
        <v>88</v>
      </c>
      <c r="F22" s="9"/>
      <c r="G22" s="11" t="s">
        <v>21</v>
      </c>
      <c r="H22" s="9" t="s">
        <v>89</v>
      </c>
      <c r="I22" s="9" t="s">
        <v>31</v>
      </c>
      <c r="J22" s="9" t="s">
        <v>32</v>
      </c>
      <c r="K22" s="11" t="s">
        <v>25</v>
      </c>
      <c r="L22" s="7"/>
      <c r="M22" s="7" t="s">
        <v>26</v>
      </c>
      <c r="N22" s="8"/>
      <c r="O22" s="7"/>
    </row>
    <row r="23" customFormat="false" ht="15" hidden="false" customHeight="false" outlineLevel="0" collapsed="false">
      <c r="A23" s="4" t="n">
        <v>19</v>
      </c>
      <c r="B23" s="5" t="s">
        <v>90</v>
      </c>
      <c r="C23" s="4" t="s">
        <v>91</v>
      </c>
      <c r="D23" s="4" t="s">
        <v>81</v>
      </c>
      <c r="E23" s="4" t="s">
        <v>92</v>
      </c>
      <c r="F23" s="4"/>
      <c r="G23" s="6" t="s">
        <v>21</v>
      </c>
      <c r="H23" s="4" t="s">
        <v>86</v>
      </c>
      <c r="I23" s="4" t="s">
        <v>23</v>
      </c>
      <c r="J23" s="4" t="s">
        <v>53</v>
      </c>
      <c r="K23" s="6" t="s">
        <v>25</v>
      </c>
      <c r="L23" s="7"/>
      <c r="M23" s="7" t="s">
        <v>26</v>
      </c>
      <c r="N23" s="8"/>
      <c r="O23" s="7"/>
    </row>
    <row r="24" customFormat="false" ht="15" hidden="false" customHeight="false" outlineLevel="0" collapsed="false">
      <c r="A24" s="9" t="n">
        <v>20</v>
      </c>
      <c r="B24" s="10" t="s">
        <v>93</v>
      </c>
      <c r="C24" s="9" t="s">
        <v>94</v>
      </c>
      <c r="D24" s="9" t="s">
        <v>81</v>
      </c>
      <c r="E24" s="9" t="s">
        <v>95</v>
      </c>
      <c r="F24" s="9"/>
      <c r="G24" s="11" t="s">
        <v>21</v>
      </c>
      <c r="H24" s="9" t="s">
        <v>22</v>
      </c>
      <c r="I24" s="9" t="s">
        <v>23</v>
      </c>
      <c r="J24" s="9" t="s">
        <v>53</v>
      </c>
      <c r="K24" s="13" t="s">
        <v>36</v>
      </c>
      <c r="L24" s="7"/>
      <c r="M24" s="7" t="s">
        <v>26</v>
      </c>
      <c r="N24" s="8"/>
      <c r="O24" s="7"/>
    </row>
    <row r="25" customFormat="false" ht="15" hidden="false" customHeight="false" outlineLevel="0" collapsed="false">
      <c r="A25" s="4" t="n">
        <v>21</v>
      </c>
      <c r="B25" s="5" t="s">
        <v>96</v>
      </c>
      <c r="C25" s="4" t="s">
        <v>94</v>
      </c>
      <c r="D25" s="4" t="s">
        <v>81</v>
      </c>
      <c r="E25" s="4" t="s">
        <v>97</v>
      </c>
      <c r="F25" s="4"/>
      <c r="G25" s="6" t="s">
        <v>21</v>
      </c>
      <c r="H25" s="4" t="s">
        <v>46</v>
      </c>
      <c r="I25" s="4" t="s">
        <v>23</v>
      </c>
      <c r="J25" s="4" t="s">
        <v>53</v>
      </c>
      <c r="K25" s="6" t="s">
        <v>25</v>
      </c>
      <c r="L25" s="7"/>
      <c r="M25" s="7" t="s">
        <v>26</v>
      </c>
      <c r="N25" s="8"/>
      <c r="O25" s="7"/>
    </row>
    <row r="26" customFormat="false" ht="15" hidden="false" customHeight="false" outlineLevel="0" collapsed="false">
      <c r="A26" s="9" t="n">
        <v>22</v>
      </c>
      <c r="B26" s="10" t="s">
        <v>98</v>
      </c>
      <c r="C26" s="9" t="s">
        <v>99</v>
      </c>
      <c r="D26" s="9" t="s">
        <v>81</v>
      </c>
      <c r="E26" s="9" t="s">
        <v>100</v>
      </c>
      <c r="F26" s="9"/>
      <c r="G26" s="11" t="s">
        <v>21</v>
      </c>
      <c r="H26" s="9" t="s">
        <v>22</v>
      </c>
      <c r="I26" s="9" t="s">
        <v>23</v>
      </c>
      <c r="J26" s="9" t="s">
        <v>67</v>
      </c>
      <c r="K26" s="11" t="s">
        <v>25</v>
      </c>
      <c r="L26" s="7"/>
      <c r="M26" s="7" t="s">
        <v>26</v>
      </c>
      <c r="N26" s="8"/>
      <c r="O26" s="7"/>
    </row>
    <row r="27" customFormat="false" ht="15" hidden="false" customHeight="false" outlineLevel="0" collapsed="false">
      <c r="A27" s="4" t="n">
        <v>23</v>
      </c>
      <c r="B27" s="5" t="s">
        <v>101</v>
      </c>
      <c r="C27" s="4" t="s">
        <v>102</v>
      </c>
      <c r="D27" s="4" t="s">
        <v>81</v>
      </c>
      <c r="E27" s="4" t="s">
        <v>103</v>
      </c>
      <c r="F27" s="4"/>
      <c r="G27" s="6" t="s">
        <v>21</v>
      </c>
      <c r="H27" s="4" t="s">
        <v>22</v>
      </c>
      <c r="I27" s="4" t="s">
        <v>23</v>
      </c>
      <c r="J27" s="4" t="s">
        <v>67</v>
      </c>
      <c r="K27" s="6" t="s">
        <v>25</v>
      </c>
      <c r="L27" s="7"/>
      <c r="M27" s="7" t="s">
        <v>26</v>
      </c>
      <c r="N27" s="8"/>
      <c r="O27" s="7"/>
    </row>
    <row r="28" customFormat="false" ht="15" hidden="false" customHeight="false" outlineLevel="0" collapsed="false">
      <c r="A28" s="9" t="n">
        <v>24</v>
      </c>
      <c r="B28" s="10" t="s">
        <v>104</v>
      </c>
      <c r="C28" s="9" t="s">
        <v>102</v>
      </c>
      <c r="D28" s="9" t="s">
        <v>81</v>
      </c>
      <c r="E28" s="9" t="s">
        <v>105</v>
      </c>
      <c r="F28" s="9"/>
      <c r="G28" s="11" t="s">
        <v>21</v>
      </c>
      <c r="H28" s="9" t="s">
        <v>22</v>
      </c>
      <c r="I28" s="9" t="s">
        <v>23</v>
      </c>
      <c r="J28" s="9" t="s">
        <v>67</v>
      </c>
      <c r="K28" s="11" t="s">
        <v>25</v>
      </c>
      <c r="L28" s="7"/>
      <c r="M28" s="7" t="s">
        <v>26</v>
      </c>
      <c r="N28" s="8"/>
      <c r="O28" s="7"/>
    </row>
    <row r="29" customFormat="false" ht="15" hidden="false" customHeight="false" outlineLevel="0" collapsed="false">
      <c r="A29" s="4" t="n">
        <v>25</v>
      </c>
      <c r="B29" s="5" t="s">
        <v>106</v>
      </c>
      <c r="C29" s="4" t="s">
        <v>28</v>
      </c>
      <c r="D29" s="4" t="s">
        <v>81</v>
      </c>
      <c r="E29" s="4" t="s">
        <v>107</v>
      </c>
      <c r="F29" s="4"/>
      <c r="G29" s="6" t="s">
        <v>21</v>
      </c>
      <c r="H29" s="4" t="s">
        <v>46</v>
      </c>
      <c r="I29" s="4" t="s">
        <v>23</v>
      </c>
      <c r="J29" s="4" t="s">
        <v>35</v>
      </c>
      <c r="K29" s="12" t="s">
        <v>36</v>
      </c>
      <c r="L29" s="7"/>
      <c r="M29" s="7" t="s">
        <v>26</v>
      </c>
      <c r="N29" s="8"/>
      <c r="O29" s="7"/>
    </row>
    <row r="30" customFormat="false" ht="15" hidden="false" customHeight="false" outlineLevel="0" collapsed="false">
      <c r="A30" s="9" t="n">
        <v>26</v>
      </c>
      <c r="B30" s="10" t="s">
        <v>108</v>
      </c>
      <c r="C30" s="9" t="s">
        <v>99</v>
      </c>
      <c r="D30" s="9" t="s">
        <v>109</v>
      </c>
      <c r="E30" s="9" t="s">
        <v>110</v>
      </c>
      <c r="F30" s="9"/>
      <c r="G30" s="11" t="s">
        <v>21</v>
      </c>
      <c r="H30" s="9" t="s">
        <v>22</v>
      </c>
      <c r="I30" s="9" t="s">
        <v>23</v>
      </c>
      <c r="J30" s="9" t="s">
        <v>67</v>
      </c>
      <c r="K30" s="11" t="s">
        <v>25</v>
      </c>
      <c r="L30" s="7"/>
      <c r="M30" s="7" t="s">
        <v>26</v>
      </c>
      <c r="N30" s="8"/>
      <c r="O30" s="7"/>
    </row>
    <row r="31" customFormat="false" ht="15" hidden="false" customHeight="false" outlineLevel="0" collapsed="false">
      <c r="A31" s="4" t="n">
        <v>27</v>
      </c>
      <c r="B31" s="5" t="s">
        <v>111</v>
      </c>
      <c r="C31" s="4" t="s">
        <v>80</v>
      </c>
      <c r="D31" s="4" t="s">
        <v>109</v>
      </c>
      <c r="E31" s="4" t="s">
        <v>112</v>
      </c>
      <c r="F31" s="4"/>
      <c r="G31" s="6" t="s">
        <v>21</v>
      </c>
      <c r="H31" s="4" t="s">
        <v>22</v>
      </c>
      <c r="I31" s="4" t="s">
        <v>23</v>
      </c>
      <c r="J31" s="4" t="s">
        <v>83</v>
      </c>
      <c r="K31" s="6" t="s">
        <v>25</v>
      </c>
      <c r="L31" s="7"/>
      <c r="M31" s="7" t="s">
        <v>26</v>
      </c>
      <c r="N31" s="8"/>
      <c r="O31" s="7"/>
    </row>
    <row r="32" customFormat="false" ht="15" hidden="false" customHeight="false" outlineLevel="0" collapsed="false">
      <c r="A32" s="9" t="n">
        <v>28</v>
      </c>
      <c r="B32" s="10" t="s">
        <v>113</v>
      </c>
      <c r="C32" s="9" t="s">
        <v>80</v>
      </c>
      <c r="D32" s="9" t="s">
        <v>109</v>
      </c>
      <c r="E32" s="9" t="s">
        <v>114</v>
      </c>
      <c r="F32" s="9" t="s">
        <v>115</v>
      </c>
      <c r="G32" s="11" t="s">
        <v>21</v>
      </c>
      <c r="H32" s="9" t="s">
        <v>22</v>
      </c>
      <c r="I32" s="9" t="s">
        <v>23</v>
      </c>
      <c r="J32" s="9" t="s">
        <v>83</v>
      </c>
      <c r="K32" s="11" t="s">
        <v>25</v>
      </c>
      <c r="L32" s="7"/>
      <c r="M32" s="7" t="s">
        <v>26</v>
      </c>
      <c r="N32" s="8"/>
      <c r="O32" s="7"/>
    </row>
    <row r="33" customFormat="false" ht="15" hidden="false" customHeight="false" outlineLevel="0" collapsed="false">
      <c r="A33" s="4" t="n">
        <v>29</v>
      </c>
      <c r="B33" s="5" t="s">
        <v>116</v>
      </c>
      <c r="C33" s="4" t="s">
        <v>43</v>
      </c>
      <c r="D33" s="4" t="s">
        <v>109</v>
      </c>
      <c r="E33" s="4" t="s">
        <v>117</v>
      </c>
      <c r="F33" s="4" t="s">
        <v>118</v>
      </c>
      <c r="G33" s="6" t="s">
        <v>21</v>
      </c>
      <c r="H33" s="4" t="s">
        <v>46</v>
      </c>
      <c r="I33" s="4" t="s">
        <v>23</v>
      </c>
      <c r="J33" s="4" t="s">
        <v>47</v>
      </c>
      <c r="K33" s="6" t="s">
        <v>25</v>
      </c>
      <c r="L33" s="7"/>
      <c r="M33" s="7" t="s">
        <v>26</v>
      </c>
      <c r="N33" s="8"/>
      <c r="O33" s="7"/>
    </row>
    <row r="34" customFormat="false" ht="23.85" hidden="false" customHeight="false" outlineLevel="0" collapsed="false">
      <c r="A34" s="9" t="n">
        <v>30</v>
      </c>
      <c r="B34" s="10" t="s">
        <v>119</v>
      </c>
      <c r="C34" s="9" t="s">
        <v>120</v>
      </c>
      <c r="D34" s="9" t="s">
        <v>109</v>
      </c>
      <c r="E34" s="9" t="s">
        <v>121</v>
      </c>
      <c r="F34" s="9"/>
      <c r="G34" s="11" t="s">
        <v>21</v>
      </c>
      <c r="H34" s="9" t="s">
        <v>22</v>
      </c>
      <c r="I34" s="9" t="s">
        <v>23</v>
      </c>
      <c r="J34" s="9" t="s">
        <v>122</v>
      </c>
      <c r="K34" s="11" t="s">
        <v>25</v>
      </c>
      <c r="L34" s="7"/>
      <c r="M34" s="7" t="s">
        <v>26</v>
      </c>
      <c r="N34" s="8"/>
      <c r="O34" s="7"/>
    </row>
    <row r="35" customFormat="false" ht="15" hidden="false" customHeight="false" outlineLevel="0" collapsed="false">
      <c r="A35" s="4" t="n">
        <v>31</v>
      </c>
      <c r="B35" s="5" t="s">
        <v>123</v>
      </c>
      <c r="C35" s="4" t="s">
        <v>80</v>
      </c>
      <c r="D35" s="4" t="s">
        <v>124</v>
      </c>
      <c r="E35" s="4" t="s">
        <v>125</v>
      </c>
      <c r="F35" s="4"/>
      <c r="G35" s="6" t="s">
        <v>21</v>
      </c>
      <c r="H35" s="4" t="s">
        <v>22</v>
      </c>
      <c r="I35" s="4" t="s">
        <v>23</v>
      </c>
      <c r="J35" s="4" t="s">
        <v>83</v>
      </c>
      <c r="K35" s="6" t="s">
        <v>25</v>
      </c>
      <c r="L35" s="7"/>
      <c r="M35" s="7" t="s">
        <v>26</v>
      </c>
      <c r="N35" s="8"/>
      <c r="O35" s="7"/>
    </row>
    <row r="36" customFormat="false" ht="15" hidden="false" customHeight="false" outlineLevel="0" collapsed="false">
      <c r="A36" s="9" t="n">
        <v>32</v>
      </c>
      <c r="B36" s="10" t="s">
        <v>126</v>
      </c>
      <c r="C36" s="9" t="s">
        <v>80</v>
      </c>
      <c r="D36" s="9" t="s">
        <v>124</v>
      </c>
      <c r="E36" s="9" t="s">
        <v>127</v>
      </c>
      <c r="F36" s="9"/>
      <c r="G36" s="11" t="s">
        <v>21</v>
      </c>
      <c r="H36" s="9" t="s">
        <v>22</v>
      </c>
      <c r="I36" s="9" t="s">
        <v>23</v>
      </c>
      <c r="J36" s="9" t="s">
        <v>83</v>
      </c>
      <c r="K36" s="11" t="s">
        <v>25</v>
      </c>
      <c r="L36" s="7"/>
      <c r="M36" s="7" t="s">
        <v>26</v>
      </c>
      <c r="N36" s="8"/>
      <c r="O36" s="7"/>
    </row>
    <row r="37" customFormat="false" ht="23.85" hidden="false" customHeight="false" outlineLevel="0" collapsed="false">
      <c r="A37" s="4" t="n">
        <v>33</v>
      </c>
      <c r="B37" s="5" t="s">
        <v>128</v>
      </c>
      <c r="C37" s="4" t="s">
        <v>18</v>
      </c>
      <c r="D37" s="4" t="s">
        <v>124</v>
      </c>
      <c r="E37" s="4" t="s">
        <v>129</v>
      </c>
      <c r="F37" s="4"/>
      <c r="G37" s="6" t="s">
        <v>21</v>
      </c>
      <c r="H37" s="4" t="s">
        <v>52</v>
      </c>
      <c r="I37" s="4" t="s">
        <v>23</v>
      </c>
      <c r="J37" s="4" t="s">
        <v>24</v>
      </c>
      <c r="K37" s="6" t="s">
        <v>25</v>
      </c>
      <c r="L37" s="7"/>
      <c r="M37" s="7" t="s">
        <v>26</v>
      </c>
      <c r="N37" s="8"/>
      <c r="O37" s="7"/>
    </row>
    <row r="38" customFormat="false" ht="15" hidden="false" customHeight="false" outlineLevel="0" collapsed="false">
      <c r="A38" s="9" t="n">
        <v>34</v>
      </c>
      <c r="B38" s="10" t="s">
        <v>130</v>
      </c>
      <c r="C38" s="9" t="s">
        <v>65</v>
      </c>
      <c r="D38" s="9" t="s">
        <v>124</v>
      </c>
      <c r="E38" s="9" t="s">
        <v>131</v>
      </c>
      <c r="F38" s="9"/>
      <c r="G38" s="11" t="s">
        <v>21</v>
      </c>
      <c r="H38" s="9" t="s">
        <v>22</v>
      </c>
      <c r="I38" s="9" t="s">
        <v>23</v>
      </c>
      <c r="J38" s="9" t="s">
        <v>67</v>
      </c>
      <c r="K38" s="11" t="s">
        <v>25</v>
      </c>
      <c r="L38" s="7"/>
      <c r="M38" s="7" t="s">
        <v>26</v>
      </c>
      <c r="N38" s="8"/>
      <c r="O38" s="7"/>
    </row>
    <row r="39" customFormat="false" ht="15" hidden="false" customHeight="false" outlineLevel="0" collapsed="false">
      <c r="A39" s="4" t="n">
        <v>35</v>
      </c>
      <c r="B39" s="5" t="s">
        <v>132</v>
      </c>
      <c r="C39" s="4" t="s">
        <v>133</v>
      </c>
      <c r="D39" s="4" t="s">
        <v>124</v>
      </c>
      <c r="E39" s="4" t="s">
        <v>134</v>
      </c>
      <c r="F39" s="4"/>
      <c r="G39" s="6" t="s">
        <v>21</v>
      </c>
      <c r="H39" s="4" t="s">
        <v>22</v>
      </c>
      <c r="I39" s="4" t="s">
        <v>23</v>
      </c>
      <c r="J39" s="4" t="s">
        <v>78</v>
      </c>
      <c r="K39" s="12" t="s">
        <v>36</v>
      </c>
      <c r="L39" s="7"/>
      <c r="M39" s="7" t="s">
        <v>26</v>
      </c>
      <c r="N39" s="8"/>
      <c r="O39" s="7"/>
    </row>
    <row r="40" customFormat="false" ht="23.85" hidden="false" customHeight="false" outlineLevel="0" collapsed="false">
      <c r="A40" s="9" t="n">
        <v>36</v>
      </c>
      <c r="B40" s="10" t="s">
        <v>135</v>
      </c>
      <c r="C40" s="9" t="s">
        <v>136</v>
      </c>
      <c r="D40" s="9" t="s">
        <v>124</v>
      </c>
      <c r="E40" s="9" t="s">
        <v>137</v>
      </c>
      <c r="F40" s="9" t="s">
        <v>138</v>
      </c>
      <c r="G40" s="11" t="s">
        <v>21</v>
      </c>
      <c r="H40" s="9" t="s">
        <v>139</v>
      </c>
      <c r="I40" s="9" t="s">
        <v>31</v>
      </c>
      <c r="J40" s="9" t="s">
        <v>32</v>
      </c>
      <c r="K40" s="11" t="s">
        <v>25</v>
      </c>
      <c r="L40" s="7"/>
      <c r="M40" s="7" t="s">
        <v>26</v>
      </c>
      <c r="N40" s="8"/>
      <c r="O40" s="7"/>
    </row>
    <row r="41" customFormat="false" ht="23.85" hidden="false" customHeight="false" outlineLevel="0" collapsed="false">
      <c r="A41" s="4" t="n">
        <v>37</v>
      </c>
      <c r="B41" s="5" t="s">
        <v>140</v>
      </c>
      <c r="C41" s="4" t="s">
        <v>141</v>
      </c>
      <c r="D41" s="4" t="s">
        <v>142</v>
      </c>
      <c r="E41" s="4" t="s">
        <v>143</v>
      </c>
      <c r="F41" s="4" t="s">
        <v>144</v>
      </c>
      <c r="G41" s="6" t="s">
        <v>21</v>
      </c>
      <c r="H41" s="4" t="s">
        <v>22</v>
      </c>
      <c r="I41" s="4" t="s">
        <v>23</v>
      </c>
      <c r="J41" s="4" t="s">
        <v>67</v>
      </c>
      <c r="K41" s="6" t="s">
        <v>25</v>
      </c>
      <c r="L41" s="7"/>
      <c r="M41" s="7" t="s">
        <v>26</v>
      </c>
      <c r="N41" s="8"/>
      <c r="O41" s="7"/>
    </row>
    <row r="42" customFormat="false" ht="23.85" hidden="false" customHeight="false" outlineLevel="0" collapsed="false">
      <c r="A42" s="9" t="n">
        <v>38</v>
      </c>
      <c r="B42" s="10" t="s">
        <v>145</v>
      </c>
      <c r="C42" s="9" t="s">
        <v>146</v>
      </c>
      <c r="D42" s="9" t="s">
        <v>142</v>
      </c>
      <c r="E42" s="9" t="s">
        <v>147</v>
      </c>
      <c r="F42" s="9"/>
      <c r="G42" s="11" t="s">
        <v>21</v>
      </c>
      <c r="H42" s="9" t="s">
        <v>46</v>
      </c>
      <c r="I42" s="9" t="s">
        <v>23</v>
      </c>
      <c r="J42" s="9" t="s">
        <v>148</v>
      </c>
      <c r="K42" s="11" t="s">
        <v>25</v>
      </c>
      <c r="L42" s="7"/>
      <c r="M42" s="7" t="s">
        <v>26</v>
      </c>
      <c r="N42" s="8"/>
      <c r="O42" s="7"/>
    </row>
    <row r="43" customFormat="false" ht="15" hidden="false" customHeight="false" outlineLevel="0" collapsed="false">
      <c r="A43" s="4" t="n">
        <v>39</v>
      </c>
      <c r="B43" s="5" t="s">
        <v>149</v>
      </c>
      <c r="C43" s="4" t="s">
        <v>150</v>
      </c>
      <c r="D43" s="4" t="s">
        <v>142</v>
      </c>
      <c r="E43" s="4" t="s">
        <v>151</v>
      </c>
      <c r="F43" s="4" t="s">
        <v>152</v>
      </c>
      <c r="G43" s="6" t="s">
        <v>21</v>
      </c>
      <c r="H43" s="4" t="s">
        <v>22</v>
      </c>
      <c r="I43" s="4" t="s">
        <v>23</v>
      </c>
      <c r="J43" s="4" t="s">
        <v>153</v>
      </c>
      <c r="K43" s="12" t="s">
        <v>36</v>
      </c>
      <c r="L43" s="7"/>
      <c r="M43" s="7" t="s">
        <v>26</v>
      </c>
      <c r="N43" s="8"/>
      <c r="O43" s="7"/>
    </row>
    <row r="44" customFormat="false" ht="15" hidden="false" customHeight="false" outlineLevel="0" collapsed="false">
      <c r="A44" s="9" t="n">
        <v>40</v>
      </c>
      <c r="B44" s="10" t="s">
        <v>154</v>
      </c>
      <c r="C44" s="9" t="s">
        <v>102</v>
      </c>
      <c r="D44" s="9" t="s">
        <v>142</v>
      </c>
      <c r="E44" s="9" t="s">
        <v>155</v>
      </c>
      <c r="F44" s="9"/>
      <c r="G44" s="11" t="s">
        <v>21</v>
      </c>
      <c r="H44" s="9" t="s">
        <v>22</v>
      </c>
      <c r="I44" s="9" t="s">
        <v>23</v>
      </c>
      <c r="J44" s="9" t="s">
        <v>67</v>
      </c>
      <c r="K44" s="13" t="s">
        <v>36</v>
      </c>
      <c r="L44" s="7"/>
      <c r="M44" s="7" t="s">
        <v>26</v>
      </c>
      <c r="N44" s="8"/>
      <c r="O44" s="7"/>
    </row>
    <row r="45" customFormat="false" ht="15" hidden="false" customHeight="false" outlineLevel="0" collapsed="false">
      <c r="A45" s="4" t="n">
        <v>41</v>
      </c>
      <c r="B45" s="5" t="s">
        <v>156</v>
      </c>
      <c r="C45" s="4" t="s">
        <v>80</v>
      </c>
      <c r="D45" s="4" t="s">
        <v>142</v>
      </c>
      <c r="E45" s="4" t="s">
        <v>157</v>
      </c>
      <c r="F45" s="4" t="s">
        <v>158</v>
      </c>
      <c r="G45" s="6" t="s">
        <v>21</v>
      </c>
      <c r="H45" s="4" t="s">
        <v>22</v>
      </c>
      <c r="I45" s="4" t="s">
        <v>23</v>
      </c>
      <c r="J45" s="4" t="s">
        <v>83</v>
      </c>
      <c r="K45" s="6" t="s">
        <v>25</v>
      </c>
      <c r="L45" s="7"/>
      <c r="M45" s="7" t="s">
        <v>26</v>
      </c>
      <c r="N45" s="8"/>
      <c r="O45" s="7"/>
    </row>
    <row r="46" customFormat="false" ht="15" hidden="false" customHeight="false" outlineLevel="0" collapsed="false">
      <c r="A46" s="9" t="n">
        <v>42</v>
      </c>
      <c r="B46" s="10" t="s">
        <v>159</v>
      </c>
      <c r="C46" s="9" t="s">
        <v>80</v>
      </c>
      <c r="D46" s="9" t="s">
        <v>142</v>
      </c>
      <c r="E46" s="9" t="s">
        <v>160</v>
      </c>
      <c r="F46" s="9"/>
      <c r="G46" s="11" t="s">
        <v>21</v>
      </c>
      <c r="H46" s="9" t="s">
        <v>22</v>
      </c>
      <c r="I46" s="9" t="s">
        <v>23</v>
      </c>
      <c r="J46" s="9" t="s">
        <v>83</v>
      </c>
      <c r="K46" s="11" t="s">
        <v>25</v>
      </c>
      <c r="L46" s="7"/>
      <c r="M46" s="7" t="s">
        <v>26</v>
      </c>
      <c r="N46" s="8"/>
      <c r="O46" s="7"/>
    </row>
    <row r="47" customFormat="false" ht="15" hidden="false" customHeight="false" outlineLevel="0" collapsed="false">
      <c r="A47" s="4" t="n">
        <v>43</v>
      </c>
      <c r="B47" s="5" t="s">
        <v>161</v>
      </c>
      <c r="C47" s="4" t="s">
        <v>141</v>
      </c>
      <c r="D47" s="4" t="s">
        <v>142</v>
      </c>
      <c r="E47" s="4" t="s">
        <v>162</v>
      </c>
      <c r="F47" s="4"/>
      <c r="G47" s="6" t="s">
        <v>21</v>
      </c>
      <c r="H47" s="4" t="s">
        <v>22</v>
      </c>
      <c r="I47" s="4" t="s">
        <v>23</v>
      </c>
      <c r="J47" s="4" t="s">
        <v>67</v>
      </c>
      <c r="K47" s="6" t="s">
        <v>25</v>
      </c>
      <c r="L47" s="7"/>
      <c r="M47" s="7" t="s">
        <v>26</v>
      </c>
      <c r="N47" s="8"/>
      <c r="O47" s="7"/>
    </row>
  </sheetData>
  <autoFilter ref="A4:O47"/>
  <dataValidations count="1">
    <dataValidation allowBlank="true" error="Elige un estado de la lista." errorStyle="stop" errorTitle="Estado" operator="between" showDropDown="false" showErrorMessage="true" showInputMessage="false" sqref="M5:M505" type="list">
      <formula1>"Pendiente,Contactado,Interesado,Cita / visita,Vendido,No interesado"</formula1>
      <formula2>0</formula2>
    </dataValidation>
  </dataValidations>
  <hyperlinks>
    <hyperlink ref="G5" r:id="rId1" display="Abrir en Google Maps"/>
    <hyperlink ref="K5" r:id="rId2" display="Ver fuente"/>
    <hyperlink ref="G6" r:id="rId3" display="Abrir en Google Maps"/>
    <hyperlink ref="K6" r:id="rId4" display="Ver fuente"/>
    <hyperlink ref="G7" r:id="rId5" display="Abrir en Google Maps"/>
    <hyperlink ref="G8" r:id="rId6" display="Abrir en Google Maps"/>
    <hyperlink ref="K8" r:id="rId7" display="Ver fuente"/>
    <hyperlink ref="G9" r:id="rId8" display="Abrir en Google Maps"/>
    <hyperlink ref="K9" r:id="rId9" display="Ver fuente"/>
    <hyperlink ref="G10" r:id="rId10" display="Abrir en Google Maps"/>
    <hyperlink ref="K10" r:id="rId11" display="Ver fuente"/>
    <hyperlink ref="G11" r:id="rId12" display="Abrir en Google Maps"/>
    <hyperlink ref="K11" r:id="rId13" display="Ver fuente"/>
    <hyperlink ref="G12" r:id="rId14" display="Abrir en Google Maps"/>
    <hyperlink ref="G13" r:id="rId15" display="Abrir en Google Maps"/>
    <hyperlink ref="G14" r:id="rId16" display="Abrir en Google Maps"/>
    <hyperlink ref="G15" r:id="rId17" display="Abrir en Google Maps"/>
    <hyperlink ref="G16" r:id="rId18" display="Abrir en Google Maps"/>
    <hyperlink ref="K16" r:id="rId19" display="Ver fuente"/>
    <hyperlink ref="G17" r:id="rId20" display="Abrir en Google Maps"/>
    <hyperlink ref="K17" r:id="rId21" display="Ver fuente"/>
    <hyperlink ref="G18" r:id="rId22" display="Abrir en Google Maps"/>
    <hyperlink ref="K18" r:id="rId23" display="Ver fuente"/>
    <hyperlink ref="G19" r:id="rId24" display="Abrir en Google Maps"/>
    <hyperlink ref="K19" r:id="rId25" display="Ver fuente"/>
    <hyperlink ref="G20" r:id="rId26" display="Abrir en Google Maps"/>
    <hyperlink ref="K20" r:id="rId27" display="Ver fuente"/>
    <hyperlink ref="G21" r:id="rId28" display="Abrir en Google Maps"/>
    <hyperlink ref="K21" r:id="rId29" display="Ver fuente"/>
    <hyperlink ref="G22" r:id="rId30" display="Abrir en Google Maps"/>
    <hyperlink ref="K22" r:id="rId31" display="Ver fuente"/>
    <hyperlink ref="G23" r:id="rId32" display="Abrir en Google Maps"/>
    <hyperlink ref="K23" r:id="rId33" display="Ver fuente"/>
    <hyperlink ref="G24" r:id="rId34" display="Abrir en Google Maps"/>
    <hyperlink ref="G25" r:id="rId35" display="Abrir en Google Maps"/>
    <hyperlink ref="K25" r:id="rId36" display="Ver fuente"/>
    <hyperlink ref="G26" r:id="rId37" display="Abrir en Google Maps"/>
    <hyperlink ref="K26" r:id="rId38" display="Ver fuente"/>
    <hyperlink ref="G27" r:id="rId39" display="Abrir en Google Maps"/>
    <hyperlink ref="K27" r:id="rId40" display="Ver fuente"/>
    <hyperlink ref="G28" r:id="rId41" display="Abrir en Google Maps"/>
    <hyperlink ref="K28" r:id="rId42" display="Ver fuente"/>
    <hyperlink ref="G29" r:id="rId43" display="Abrir en Google Maps"/>
    <hyperlink ref="G30" r:id="rId44" display="Abrir en Google Maps"/>
    <hyperlink ref="K30" r:id="rId45" display="Ver fuente"/>
    <hyperlink ref="G31" r:id="rId46" display="Abrir en Google Maps"/>
    <hyperlink ref="K31" r:id="rId47" display="Ver fuente"/>
    <hyperlink ref="G32" r:id="rId48" display="Abrir en Google Maps"/>
    <hyperlink ref="K32" r:id="rId49" display="Ver fuente"/>
    <hyperlink ref="G33" r:id="rId50" display="Abrir en Google Maps"/>
    <hyperlink ref="K33" r:id="rId51" display="Ver fuente"/>
    <hyperlink ref="G34" r:id="rId52" display="Abrir en Google Maps"/>
    <hyperlink ref="K34" r:id="rId53" display="Ver fuente"/>
    <hyperlink ref="G35" r:id="rId54" display="Abrir en Google Maps"/>
    <hyperlink ref="K35" r:id="rId55" display="Ver fuente"/>
    <hyperlink ref="G36" r:id="rId56" display="Abrir en Google Maps"/>
    <hyperlink ref="K36" r:id="rId57" display="Ver fuente"/>
    <hyperlink ref="G37" r:id="rId58" display="Abrir en Google Maps"/>
    <hyperlink ref="K37" r:id="rId59" display="Ver fuente"/>
    <hyperlink ref="G38" r:id="rId60" display="Abrir en Google Maps"/>
    <hyperlink ref="K38" r:id="rId61" display="Ver fuente"/>
    <hyperlink ref="G39" r:id="rId62" display="Abrir en Google Maps"/>
    <hyperlink ref="G40" r:id="rId63" display="Abrir en Google Maps"/>
    <hyperlink ref="K40" r:id="rId64" display="Ver fuente"/>
    <hyperlink ref="G41" r:id="rId65" display="Abrir en Google Maps"/>
    <hyperlink ref="K41" r:id="rId66" display="Ver fuente"/>
    <hyperlink ref="G42" r:id="rId67" display="Abrir en Google Maps"/>
    <hyperlink ref="K42" r:id="rId68" display="Ver fuente"/>
    <hyperlink ref="G43" r:id="rId69" display="Abrir en Google Maps"/>
    <hyperlink ref="G44" r:id="rId70" display="Abrir en Google Maps"/>
    <hyperlink ref="G45" r:id="rId71" display="Abrir en Google Maps"/>
    <hyperlink ref="K45" r:id="rId72" display="Ver fuente"/>
    <hyperlink ref="G46" r:id="rId73" display="Abrir en Google Maps"/>
    <hyperlink ref="K46" r:id="rId74" display="Ver fuente"/>
    <hyperlink ref="G47" r:id="rId75" display="Abrir en Google Maps"/>
    <hyperlink ref="K47" r:id="rId76" display="Ver fuent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163</v>
      </c>
    </row>
    <row r="3" customFormat="false" ht="15" hidden="false" customHeight="false" outlineLevel="0" collapsed="false">
      <c r="A3" s="14" t="s">
        <v>164</v>
      </c>
    </row>
    <row r="4" customFormat="false" ht="15" hidden="false" customHeight="false" outlineLevel="0" collapsed="false">
      <c r="A4" s="15"/>
      <c r="B4" s="16" t="s">
        <v>165</v>
      </c>
    </row>
    <row r="5" customFormat="false" ht="15" hidden="false" customHeight="false" outlineLevel="0" collapsed="false">
      <c r="A5" s="17" t="s">
        <v>19</v>
      </c>
      <c r="B5" s="17" t="n">
        <f aca="false">COUNTIF(Negocios!$D$5:$D$505,A5)</f>
        <v>15</v>
      </c>
    </row>
    <row r="6" customFormat="false" ht="15" hidden="false" customHeight="false" outlineLevel="0" collapsed="false">
      <c r="A6" s="17" t="s">
        <v>81</v>
      </c>
      <c r="B6" s="17" t="n">
        <f aca="false">COUNTIF(Negocios!$D$5:$D$505,A6)</f>
        <v>10</v>
      </c>
    </row>
    <row r="7" customFormat="false" ht="15" hidden="false" customHeight="false" outlineLevel="0" collapsed="false">
      <c r="A7" s="17" t="s">
        <v>109</v>
      </c>
      <c r="B7" s="17" t="n">
        <f aca="false">COUNTIF(Negocios!$D$5:$D$505,A7)</f>
        <v>5</v>
      </c>
    </row>
    <row r="8" customFormat="false" ht="15" hidden="false" customHeight="false" outlineLevel="0" collapsed="false">
      <c r="A8" s="17" t="s">
        <v>124</v>
      </c>
      <c r="B8" s="17" t="n">
        <f aca="false">COUNTIF(Negocios!$D$5:$D$505,A8)</f>
        <v>6</v>
      </c>
    </row>
    <row r="9" customFormat="false" ht="15" hidden="false" customHeight="false" outlineLevel="0" collapsed="false">
      <c r="A9" s="17" t="s">
        <v>142</v>
      </c>
      <c r="B9" s="17" t="n">
        <f aca="false">COUNTIF(Negocios!$D$5:$D$505,A9)</f>
        <v>7</v>
      </c>
    </row>
    <row r="10" customFormat="false" ht="15" hidden="false" customHeight="false" outlineLevel="0" collapsed="false">
      <c r="A10" s="18" t="s">
        <v>166</v>
      </c>
      <c r="B10" s="18" t="n">
        <f aca="false">SUM(B5:B9)</f>
        <v>43</v>
      </c>
    </row>
    <row r="12" customFormat="false" ht="15" hidden="false" customHeight="false" outlineLevel="0" collapsed="false">
      <c r="A12" s="14" t="s">
        <v>167</v>
      </c>
    </row>
    <row r="13" customFormat="false" ht="15" hidden="false" customHeight="false" outlineLevel="0" collapsed="false">
      <c r="A13" s="15"/>
      <c r="B13" s="16" t="s">
        <v>165</v>
      </c>
    </row>
    <row r="14" customFormat="false" ht="15" hidden="false" customHeight="false" outlineLevel="0" collapsed="false">
      <c r="A14" s="17" t="s">
        <v>23</v>
      </c>
      <c r="B14" s="17" t="n">
        <f aca="false">COUNTIF(Negocios!$I$5:$I$505,A14)</f>
        <v>38</v>
      </c>
    </row>
    <row r="15" customFormat="false" ht="15" hidden="false" customHeight="false" outlineLevel="0" collapsed="false">
      <c r="A15" s="17" t="s">
        <v>31</v>
      </c>
      <c r="B15" s="17" t="n">
        <f aca="false">COUNTIF(Negocios!$I$5:$I$505,A15)</f>
        <v>5</v>
      </c>
    </row>
    <row r="16" customFormat="false" ht="15" hidden="false" customHeight="false" outlineLevel="0" collapsed="false">
      <c r="A16" s="18" t="s">
        <v>166</v>
      </c>
      <c r="B16" s="18" t="n">
        <f aca="false">SUM(B14:B15)</f>
        <v>43</v>
      </c>
    </row>
    <row r="18" customFormat="false" ht="15" hidden="false" customHeight="false" outlineLevel="0" collapsed="false">
      <c r="A18" s="14" t="s">
        <v>168</v>
      </c>
    </row>
    <row r="19" customFormat="false" ht="15" hidden="false" customHeight="false" outlineLevel="0" collapsed="false">
      <c r="A19" s="15"/>
      <c r="B19" s="16" t="s">
        <v>165</v>
      </c>
    </row>
    <row r="20" customFormat="false" ht="15" hidden="false" customHeight="false" outlineLevel="0" collapsed="false">
      <c r="A20" s="17" t="s">
        <v>26</v>
      </c>
      <c r="B20" s="17" t="n">
        <f aca="false">COUNTIF(Negocios!$M$5:$M$505,A20)</f>
        <v>43</v>
      </c>
    </row>
    <row r="21" customFormat="false" ht="15" hidden="false" customHeight="false" outlineLevel="0" collapsed="false">
      <c r="A21" s="17" t="s">
        <v>169</v>
      </c>
      <c r="B21" s="17" t="n">
        <f aca="false">COUNTIF(Negocios!$M$5:$M$505,A21)</f>
        <v>0</v>
      </c>
    </row>
    <row r="22" customFormat="false" ht="15" hidden="false" customHeight="false" outlineLevel="0" collapsed="false">
      <c r="A22" s="17" t="s">
        <v>170</v>
      </c>
      <c r="B22" s="17" t="n">
        <f aca="false">COUNTIF(Negocios!$M$5:$M$505,A22)</f>
        <v>0</v>
      </c>
    </row>
    <row r="23" customFormat="false" ht="15" hidden="false" customHeight="false" outlineLevel="0" collapsed="false">
      <c r="A23" s="17" t="s">
        <v>171</v>
      </c>
      <c r="B23" s="17" t="n">
        <f aca="false">COUNTIF(Negocios!$M$5:$M$505,A23)</f>
        <v>0</v>
      </c>
    </row>
    <row r="24" customFormat="false" ht="15" hidden="false" customHeight="false" outlineLevel="0" collapsed="false">
      <c r="A24" s="17" t="s">
        <v>172</v>
      </c>
      <c r="B24" s="17" t="n">
        <f aca="false">COUNTIF(Negocios!$M$5:$M$505,A24)</f>
        <v>0</v>
      </c>
    </row>
    <row r="25" customFormat="false" ht="15" hidden="false" customHeight="false" outlineLevel="0" collapsed="false">
      <c r="A25" s="17" t="s">
        <v>173</v>
      </c>
      <c r="B25" s="17" t="n">
        <f aca="false">COUNTIF(Negocios!$M$5:$M$505,A25)</f>
        <v>0</v>
      </c>
    </row>
    <row r="26" customFormat="false" ht="15" hidden="false" customHeight="false" outlineLevel="0" collapsed="false">
      <c r="A26" s="18" t="s">
        <v>166</v>
      </c>
      <c r="B26" s="18" t="n">
        <f aca="false">SUM(B20:B25)</f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9" t="s">
        <v>174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1" t="s">
        <v>175</v>
      </c>
    </row>
    <row r="4" customFormat="false" ht="15" hidden="false" customHeight="false" outlineLevel="0" collapsed="false">
      <c r="A4" s="20" t="s">
        <v>176</v>
      </c>
    </row>
    <row r="5" customFormat="false" ht="15" hidden="false" customHeight="false" outlineLevel="0" collapsed="false">
      <c r="A5" s="20" t="s">
        <v>177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1" t="s">
        <v>178</v>
      </c>
    </row>
    <row r="8" customFormat="false" ht="15" hidden="false" customHeight="false" outlineLevel="0" collapsed="false">
      <c r="A8" s="20" t="s">
        <v>179</v>
      </c>
    </row>
    <row r="9" customFormat="false" ht="15" hidden="false" customHeight="false" outlineLevel="0" collapsed="false">
      <c r="A9" s="20" t="s">
        <v>180</v>
      </c>
    </row>
    <row r="10" customFormat="false" ht="15" hidden="false" customHeight="false" outlineLevel="0" collapsed="false">
      <c r="A10" s="20" t="s">
        <v>181</v>
      </c>
    </row>
    <row r="11" customFormat="false" ht="15" hidden="false" customHeight="false" outlineLevel="0" collapsed="false">
      <c r="A11" s="20"/>
    </row>
    <row r="12" customFormat="false" ht="15" hidden="false" customHeight="false" outlineLevel="0" collapsed="false">
      <c r="A12" s="21" t="s">
        <v>182</v>
      </c>
    </row>
    <row r="13" customFormat="false" ht="23.85" hidden="false" customHeight="false" outlineLevel="0" collapsed="false">
      <c r="A13" s="20" t="s">
        <v>183</v>
      </c>
    </row>
    <row r="14" customFormat="false" ht="15" hidden="false" customHeight="false" outlineLevel="0" collapsed="false">
      <c r="A14" s="20" t="s">
        <v>184</v>
      </c>
    </row>
    <row r="15" customFormat="false" ht="15" hidden="false" customHeight="false" outlineLevel="0" collapsed="false">
      <c r="A15" s="20"/>
    </row>
    <row r="16" customFormat="false" ht="15" hidden="false" customHeight="false" outlineLevel="0" collapsed="false">
      <c r="A16" s="21" t="s">
        <v>185</v>
      </c>
    </row>
    <row r="17" customFormat="false" ht="35.05" hidden="false" customHeight="false" outlineLevel="0" collapsed="false">
      <c r="A17" s="22" t="s">
        <v>186</v>
      </c>
    </row>
    <row r="18" customFormat="false" ht="15" hidden="false" customHeight="false" outlineLevel="0" collapsed="false">
      <c r="A18" s="20" t="s">
        <v>187</v>
      </c>
    </row>
    <row r="19" customFormat="false" ht="15" hidden="false" customHeight="false" outlineLevel="0" collapsed="false">
      <c r="A19" s="20"/>
    </row>
    <row r="20" customFormat="false" ht="15" hidden="false" customHeight="false" outlineLevel="0" collapsed="false">
      <c r="A20" s="21" t="s">
        <v>188</v>
      </c>
    </row>
    <row r="21" customFormat="false" ht="15" hidden="false" customHeight="false" outlineLevel="0" collapsed="false">
      <c r="A21" s="20" t="s">
        <v>189</v>
      </c>
    </row>
    <row r="22" customFormat="false" ht="15" hidden="false" customHeight="false" outlineLevel="0" collapsed="false">
      <c r="A22" s="20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2026-09-28T21:16:29Z</dcterms:created>
  <dc:creator>openpyxl</dc:creator>
  <dc:description/>
  <dc:language>en-US</dc:language>
  <cp:lastModifiedBy/>
  <dcterms:modified xsi:type="dcterms:W3CDTF">2026-09-28T21:16:30Z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